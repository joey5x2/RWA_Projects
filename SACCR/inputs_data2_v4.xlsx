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joexz\Projects\SACCR\"/>
    </mc:Choice>
  </mc:AlternateContent>
  <xr:revisionPtr revIDLastSave="0" documentId="13_ncr:1_{F0757DA0-4488-49B3-9BEE-2309122F7498}" xr6:coauthVersionLast="47" xr6:coauthVersionMax="47" xr10:uidLastSave="{00000000-0000-0000-0000-000000000000}"/>
  <bookViews>
    <workbookView xWindow="28680" yWindow="-120" windowWidth="38640" windowHeight="21120" activeTab="1" xr2:uid="{F00101E5-18A8-6D40-BD52-4005DD5BE282}"/>
  </bookViews>
  <sheets>
    <sheet name="ReadMe" sheetId="5" r:id="rId1"/>
    <sheet name="trades_inputs" sheetId="1" r:id="rId2"/>
    <sheet name="csa_inputs" sheetId="2" r:id="rId3"/>
    <sheet name="parameter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Y42" i="1" l="1"/>
  <c r="Y41" i="1"/>
  <c r="Y40" i="1"/>
  <c r="Y39" i="1"/>
  <c r="Y38" i="1"/>
  <c r="Y29" i="1"/>
  <c r="Y28" i="1"/>
  <c r="Y27" i="1"/>
  <c r="Y26" i="1"/>
  <c r="Y25" i="1"/>
  <c r="Y24" i="1"/>
  <c r="Y23" i="1"/>
  <c r="Y22" i="1"/>
  <c r="Y21" i="1"/>
  <c r="Y20" i="1"/>
  <c r="Y19" i="1"/>
  <c r="Y18" i="1"/>
  <c r="Y17" i="1"/>
  <c r="Y16" i="1"/>
  <c r="Y15" i="1"/>
  <c r="Y14" i="1"/>
  <c r="Y13" i="1"/>
  <c r="Y12" i="1"/>
  <c r="Y11" i="1"/>
  <c r="Y10" i="1"/>
  <c r="Y9" i="1"/>
  <c r="Y8" i="1"/>
  <c r="Y7" i="1"/>
  <c r="Y6" i="1"/>
  <c r="Y5" i="1"/>
  <c r="Y4" i="1"/>
  <c r="Y3" i="1"/>
  <c r="Y2" i="1"/>
  <c r="Y36" i="1"/>
  <c r="Y35" i="1"/>
  <c r="Y34" i="1"/>
  <c r="Y33" i="1"/>
  <c r="Y32" i="1"/>
  <c r="Y31" i="1"/>
  <c r="H23" i="1"/>
  <c r="H22" i="1"/>
</calcChain>
</file>

<file path=xl/sharedStrings.xml><?xml version="1.0" encoding="utf-8"?>
<sst xmlns="http://schemas.openxmlformats.org/spreadsheetml/2006/main" count="471" uniqueCount="138">
  <si>
    <t>Trade inputs headers</t>
  </si>
  <si>
    <t>Description</t>
  </si>
  <si>
    <t>CSA inputs headers</t>
  </si>
  <si>
    <t>Trade_ID</t>
  </si>
  <si>
    <t>Trade ID</t>
  </si>
  <si>
    <t>Netting_ID</t>
  </si>
  <si>
    <t>Netting Set ID</t>
  </si>
  <si>
    <t>Margin_ID</t>
  </si>
  <si>
    <t>Margin Agreement ID</t>
  </si>
  <si>
    <t>Underlying_ticker</t>
  </si>
  <si>
    <t>Margin_status</t>
  </si>
  <si>
    <t>Please type in "Margined" or "Unmargined"</t>
  </si>
  <si>
    <t>Long_Short</t>
  </si>
  <si>
    <t>NICA</t>
  </si>
  <si>
    <t>Asset_class</t>
  </si>
  <si>
    <t>Asset class of underlying ticker (select on from parameters tab Asset_class column)</t>
  </si>
  <si>
    <t>VM</t>
  </si>
  <si>
    <t>Category</t>
  </si>
  <si>
    <t>Asset category of underlying ticker (select on from parameters tab Category column)</t>
  </si>
  <si>
    <t>VMT</t>
  </si>
  <si>
    <t>Variation margin threshold. Leave it empty if not applicatble.</t>
  </si>
  <si>
    <t>Type</t>
  </si>
  <si>
    <t>Asset type of underlying ticker (select on from parameters tab Type column)</t>
  </si>
  <si>
    <t>MTA</t>
  </si>
  <si>
    <t>Minimum transfer amount. Leave it empty if not applicatble.</t>
  </si>
  <si>
    <t>Market_value</t>
  </si>
  <si>
    <t>Markte value of this trade (negative value for short)</t>
  </si>
  <si>
    <t>Trade_notional</t>
  </si>
  <si>
    <t>Notional of the trade</t>
  </si>
  <si>
    <t>MPOR</t>
  </si>
  <si>
    <t>Market Period of Risk (business days). Leave it empty if not applicatble.</t>
  </si>
  <si>
    <t>start_date</t>
  </si>
  <si>
    <t>the number of business days from the present day until the start date of the derivative contract, or zero if the start date has already passed.</t>
  </si>
  <si>
    <t>end_date</t>
  </si>
  <si>
    <t>the number of business days from the present day until the end date of the derivative contract.</t>
  </si>
  <si>
    <t>Maturity</t>
  </si>
  <si>
    <t>Maturity of the derivative contract (business days)</t>
  </si>
  <si>
    <t>is_option</t>
  </si>
  <si>
    <t xml:space="preserve">Please type in "TRUE" or "FALSE" to indicate if this trade is on options </t>
  </si>
  <si>
    <t>Call_Put</t>
  </si>
  <si>
    <t>Please type in "Call" or "Put" for an options trade</t>
  </si>
  <si>
    <t>Underlying_price</t>
  </si>
  <si>
    <t>Underlying price of options trades in USD. Leave it empty if not applicatble.</t>
  </si>
  <si>
    <t>Strike_price</t>
  </si>
  <si>
    <t>Strike price of options trades in USD. Leave it empty if not applicatble.</t>
  </si>
  <si>
    <t>Option_maturity</t>
  </si>
  <si>
    <t>Maturity of options trades (business days). Leave it empty if not applicatble.</t>
  </si>
  <si>
    <t>is_CDO_tranches</t>
  </si>
  <si>
    <t xml:space="preserve">Please type in "TRUE" or "FALSE" to indicate if this trade is on CDO </t>
  </si>
  <si>
    <t>Attachment_Point</t>
  </si>
  <si>
    <t>Please type in attachment point for an CDO trade (for example: 0.02). Leave it empty if not applicatble.</t>
  </si>
  <si>
    <t>Detachment_Point</t>
  </si>
  <si>
    <t>Please type in detachment point for an CDO trade (for example: 0.035). Leave it empty if not applicatble.</t>
  </si>
  <si>
    <t>is_volatility_trade</t>
  </si>
  <si>
    <t>Please type in "TRUE" or "FALSE" to indicate if this trade is a volatility trade on the underlying ticker</t>
  </si>
  <si>
    <t>is_basis_trade</t>
  </si>
  <si>
    <t>Please type in "TRUE" or "FALSE" to indicate if this trade is a basis trade on the underlying ticker</t>
  </si>
  <si>
    <t>Trade_001</t>
  </si>
  <si>
    <t>MNA001</t>
  </si>
  <si>
    <t>USD</t>
  </si>
  <si>
    <t>Short</t>
  </si>
  <si>
    <t>Interest rate</t>
  </si>
  <si>
    <t>N/A</t>
  </si>
  <si>
    <t>Trade_002</t>
  </si>
  <si>
    <t>Trade_003</t>
  </si>
  <si>
    <t>Trade_004</t>
  </si>
  <si>
    <t>CD:1485537</t>
  </si>
  <si>
    <t>Long</t>
  </si>
  <si>
    <t>Credit, single name</t>
  </si>
  <si>
    <t>Investment grade</t>
  </si>
  <si>
    <t>Trade_005</t>
  </si>
  <si>
    <t>CD:index 119</t>
  </si>
  <si>
    <t>Credit, index</t>
  </si>
  <si>
    <t>Speculative grade</t>
  </si>
  <si>
    <t>Call</t>
  </si>
  <si>
    <t>Trade_006</t>
  </si>
  <si>
    <t>AUD_USD</t>
  </si>
  <si>
    <t>Exchange rate</t>
  </si>
  <si>
    <t>Trade_007</t>
  </si>
  <si>
    <t>CAD_USD</t>
  </si>
  <si>
    <t>Trade_008</t>
  </si>
  <si>
    <t>SP500</t>
  </si>
  <si>
    <t>Equity, index</t>
  </si>
  <si>
    <t>Trade_009</t>
  </si>
  <si>
    <t>STOXX50</t>
  </si>
  <si>
    <t>Trade_010</t>
  </si>
  <si>
    <t>Henry Hub</t>
  </si>
  <si>
    <t>Commodity</t>
  </si>
  <si>
    <t>Energy</t>
  </si>
  <si>
    <t>Other</t>
  </si>
  <si>
    <t>Trade_011</t>
  </si>
  <si>
    <t>Electricity</t>
  </si>
  <si>
    <t>Trade_012</t>
  </si>
  <si>
    <t>Cattle</t>
  </si>
  <si>
    <t>Trade_013</t>
  </si>
  <si>
    <t>Soybean</t>
  </si>
  <si>
    <t>Agricultural</t>
  </si>
  <si>
    <t>Trade_014</t>
  </si>
  <si>
    <t>Gold</t>
  </si>
  <si>
    <t>Metals</t>
  </si>
  <si>
    <t>MNA002</t>
  </si>
  <si>
    <t>AP_CDO_equity_tranche</t>
  </si>
  <si>
    <t>MNA003</t>
  </si>
  <si>
    <t>MNA004</t>
  </si>
  <si>
    <t>CSA_001</t>
  </si>
  <si>
    <t>Margined</t>
  </si>
  <si>
    <t>CSA_002</t>
  </si>
  <si>
    <t>CSA_003</t>
  </si>
  <si>
    <t>Unmargined</t>
  </si>
  <si>
    <t>Option_volatility</t>
  </si>
  <si>
    <t>Correlation_factor</t>
  </si>
  <si>
    <t>Supervisory_factor</t>
  </si>
  <si>
    <t>Sub-speculative grade</t>
  </si>
  <si>
    <t>Equity, single name</t>
  </si>
  <si>
    <t>2) One netting set can only link to one CSA</t>
  </si>
  <si>
    <t>Please type in "Long" or "Short"
For CDO products, "Long" indicates purchasing credit protection and "Short" indicates selling credit protection.</t>
  </si>
  <si>
    <t>1) All currency unit is in US dollar ($)</t>
  </si>
  <si>
    <t>The risk driver of the trade:
1) For equity, please type in the reference entity like "SP500", "AAPL" etc. 
2) For credit, please type in the reference entity of issuer like "BA", "MS" etc.
3) For interest rate: please type in the reference currency like "USD", "JPY" etc.
4) For FX, please type in the reference currency pair like "USD_CAD", "USD_JPY" etc. Please keep the format consistent through all FX trades.
5) For commodity, please type in commodity type like "Crude Oil", "Natural Gas", "AU", "Sugar" etc.
6) For volatility based trade, please type in the underlying ticker on which volatility contract is based on  and in the same way as 1) to 5). Like "SP500", "USD" etc.
7) For basis trade, please type in the corresponding basis pair, like "USD1y_USD3m"</t>
  </si>
  <si>
    <t>USD1y_USD3m</t>
  </si>
  <si>
    <t>Net independent collateral amount (NICA). NICA represents any collateral (segregated or unsegregated) posted by the counterparty less the unsegregated collateral posted by the bank. The input amount is assumed to be post haircut if any.</t>
  </si>
  <si>
    <t>Net variation margin amount, where the amount received by the bank is accounted with a positive sign and the amount posted by the bank is accounted with a negative sign. Leave it empty if not applicatble. The input amount is assumed to be post haircut if any.</t>
  </si>
  <si>
    <t>CSA_004</t>
  </si>
  <si>
    <t>MNA005</t>
  </si>
  <si>
    <t>MNA006</t>
  </si>
  <si>
    <t>COB_date</t>
  </si>
  <si>
    <t>System_end_date</t>
  </si>
  <si>
    <t>System_delta</t>
  </si>
  <si>
    <t>CSA_005</t>
  </si>
  <si>
    <t>CSA_006</t>
  </si>
  <si>
    <t>System_EAD</t>
  </si>
  <si>
    <t>is_client_facing</t>
  </si>
  <si>
    <t>margin frequency (BD)</t>
  </si>
  <si>
    <t>is_large_netting_set</t>
  </si>
  <si>
    <t>ns_has_difficult_to_replace_trade</t>
  </si>
  <si>
    <t>ns_has_illiquid_collateral</t>
  </si>
  <si>
    <t>margin_dispute</t>
  </si>
  <si>
    <t>MNA007</t>
  </si>
  <si>
    <t>System_MPOR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</si>
</sst>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0000"/>
  </numFmts>
  <fonts count="15">
    <font>
      <sz val="12"/>
      <color theme="1"/>
      <name val="Calibri"/>
      <family val="2"/>
      <scheme val="minor"/>
    </font>
    <font>
      <sz val="11"/>
      <color theme="1"/>
      <name val="Calibri"/>
      <family val="2"/>
      <scheme val="minor"/>
    </font>
    <font>
      <sz val="8"/>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sz val="12"/>
      <name val="Calibri"/>
      <family val="2"/>
      <scheme val="minor"/>
    </font>
    <font>
      <sz val="12"/>
      <color rgb="FF000000"/>
      <name val="Helvetica Neue"/>
      <family val="2"/>
    </font>
    <font>
      <sz val="12"/>
      <name val="Helvetica Neue"/>
      <family val="2"/>
    </font>
    <font>
      <b/>
      <i/>
      <sz val="16"/>
      <color theme="7" tint="0.39997558519241921"/>
      <name val="Calibri"/>
      <family val="2"/>
      <scheme val="minor"/>
    </font>
    <font>
      <b/>
      <sz val="14"/>
      <color theme="1"/>
      <name val="Calibri"/>
      <family val="2"/>
      <scheme val="minor"/>
    </font>
    <font>
      <sz val="14"/>
      <color rgb="FF000000"/>
      <name val="Calibri"/>
      <family val="2"/>
      <scheme val="minor"/>
    </font>
    <font>
      <sz val="12"/>
      <color rgb="FFFF0000"/>
      <name val="Calibri"/>
      <family val="2"/>
      <scheme val="minor"/>
    </font>
    <font>
      <sz val="11"/>
      <color rgb="FF9C0006"/>
      <name val="Calibri"/>
      <family val="2"/>
      <scheme val="minor"/>
    </font>
    <font>
      <b/>
      <sz val="11"/>
      <color theme="1"/>
      <name val="Calibri"/>
      <family val="2"/>
      <scheme val="minor"/>
    </font>
  </fonts>
  <fills count="9">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2"/>
        <bgColor indexed="64"/>
      </patternFill>
    </fill>
    <fill>
      <patternFill patternType="solid">
        <fgColor rgb="FFFFC7CE"/>
      </patternFill>
    </fill>
    <fill>
      <patternFill patternType="solid">
        <fgColor theme="5" tint="0.79998168889431442"/>
        <bgColor indexed="65"/>
      </patternFill>
    </fill>
  </fills>
  <borders count="2">
    <border>
      <left/>
      <right/>
      <top/>
      <bottom/>
      <diagonal/>
    </border>
    <border>
      <left/>
      <right/>
      <top/>
      <bottom style="thin">
        <color indexed="64"/>
      </bottom>
      <diagonal/>
    </border>
  </borders>
  <cellStyleXfs count="5">
    <xf numFmtId="0" fontId="0" fillId="0" borderId="0"/>
    <xf numFmtId="43" fontId="4" fillId="0" borderId="0" applyFont="0" applyFill="0" applyBorder="0" applyAlignment="0" applyProtection="0"/>
    <xf numFmtId="44" fontId="4" fillId="0" borderId="0" applyFont="0" applyFill="0" applyBorder="0" applyAlignment="0" applyProtection="0"/>
    <xf numFmtId="0" fontId="13" fillId="7" borderId="0" applyNumberFormat="0" applyBorder="0" applyAlignment="0" applyProtection="0"/>
    <xf numFmtId="0" fontId="1" fillId="8" borderId="0" applyNumberFormat="0" applyBorder="0" applyAlignment="0" applyProtection="0"/>
  </cellStyleXfs>
  <cellXfs count="41">
    <xf numFmtId="0" fontId="0" fillId="0" borderId="0" xfId="0"/>
    <xf numFmtId="2" fontId="0" fillId="2" borderId="0" xfId="1" applyNumberFormat="1" applyFont="1" applyFill="1" applyAlignment="1">
      <alignment horizontal="left" vertical="center"/>
    </xf>
    <xf numFmtId="0" fontId="9" fillId="5" borderId="0" xfId="0" applyFont="1" applyFill="1"/>
    <xf numFmtId="0" fontId="9" fillId="5" borderId="0" xfId="0" applyFont="1" applyFill="1" applyAlignment="1">
      <alignment vertical="center" wrapText="1"/>
    </xf>
    <xf numFmtId="0" fontId="5" fillId="0" borderId="0" xfId="0" applyFont="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2" fontId="0" fillId="3" borderId="0" xfId="1" applyNumberFormat="1" applyFont="1" applyFill="1" applyAlignment="1">
      <alignment horizontal="left" vertical="center"/>
    </xf>
    <xf numFmtId="0" fontId="5" fillId="0" borderId="0" xfId="0" applyFont="1" applyAlignment="1">
      <alignment horizontal="left"/>
    </xf>
    <xf numFmtId="0" fontId="0" fillId="2" borderId="0" xfId="0" applyFill="1" applyAlignment="1">
      <alignment horizontal="left"/>
    </xf>
    <xf numFmtId="0" fontId="7" fillId="2" borderId="0" xfId="0" applyFont="1" applyFill="1" applyAlignment="1">
      <alignment horizontal="left"/>
    </xf>
    <xf numFmtId="0" fontId="6" fillId="2" borderId="0" xfId="0" applyFont="1" applyFill="1" applyAlignment="1">
      <alignment horizontal="left"/>
    </xf>
    <xf numFmtId="1" fontId="0" fillId="2" borderId="0" xfId="0" applyNumberFormat="1" applyFill="1" applyAlignment="1">
      <alignment horizontal="left"/>
    </xf>
    <xf numFmtId="0" fontId="0" fillId="0" borderId="0" xfId="0" applyAlignment="1">
      <alignment horizontal="left"/>
    </xf>
    <xf numFmtId="0" fontId="8" fillId="2" borderId="0" xfId="0" applyFont="1" applyFill="1" applyAlignment="1">
      <alignment horizontal="left"/>
    </xf>
    <xf numFmtId="1" fontId="6" fillId="2" borderId="0" xfId="0" applyNumberFormat="1" applyFont="1" applyFill="1" applyAlignment="1">
      <alignment horizontal="left"/>
    </xf>
    <xf numFmtId="0" fontId="6" fillId="0" borderId="0" xfId="0" applyFont="1" applyAlignment="1">
      <alignment horizontal="left"/>
    </xf>
    <xf numFmtId="0" fontId="0" fillId="2" borderId="0" xfId="2" applyNumberFormat="1" applyFont="1" applyFill="1" applyAlignment="1">
      <alignment horizontal="left" vertical="center"/>
    </xf>
    <xf numFmtId="1" fontId="0" fillId="2" borderId="0" xfId="1" applyNumberFormat="1" applyFont="1" applyFill="1" applyAlignment="1">
      <alignment horizontal="left" vertical="center"/>
    </xf>
    <xf numFmtId="0" fontId="3" fillId="2" borderId="0" xfId="0" applyFont="1" applyFill="1" applyAlignment="1">
      <alignment horizontal="left"/>
    </xf>
    <xf numFmtId="0" fontId="0" fillId="3" borderId="0" xfId="0" applyFill="1" applyAlignment="1">
      <alignment horizontal="left"/>
    </xf>
    <xf numFmtId="0" fontId="7" fillId="3" borderId="0" xfId="0" applyFont="1" applyFill="1" applyAlignment="1">
      <alignment horizontal="left"/>
    </xf>
    <xf numFmtId="0" fontId="3" fillId="3" borderId="0" xfId="0" applyFont="1" applyFill="1" applyAlignment="1">
      <alignment horizontal="left"/>
    </xf>
    <xf numFmtId="0" fontId="0" fillId="3" borderId="0" xfId="2" applyNumberFormat="1" applyFont="1" applyFill="1" applyAlignment="1">
      <alignment horizontal="left" vertical="center"/>
    </xf>
    <xf numFmtId="1" fontId="0" fillId="3" borderId="0" xfId="1" applyNumberFormat="1" applyFont="1" applyFill="1" applyAlignment="1">
      <alignment horizontal="left" vertical="center"/>
    </xf>
    <xf numFmtId="1" fontId="0" fillId="3" borderId="0" xfId="0" applyNumberFormat="1" applyFill="1" applyAlignment="1">
      <alignment horizontal="left"/>
    </xf>
    <xf numFmtId="0" fontId="0" fillId="4" borderId="0" xfId="0" applyFill="1" applyAlignment="1">
      <alignment horizontal="left"/>
    </xf>
    <xf numFmtId="0" fontId="10" fillId="0" borderId="1" xfId="0" applyFont="1" applyBorder="1" applyAlignment="1">
      <alignment horizontal="left" vertical="center" wrapText="1"/>
    </xf>
    <xf numFmtId="164" fontId="0" fillId="0" borderId="0" xfId="0" applyNumberFormat="1" applyAlignment="1">
      <alignment horizontal="left"/>
    </xf>
    <xf numFmtId="0" fontId="11" fillId="2" borderId="0" xfId="0" applyFont="1" applyFill="1" applyAlignment="1">
      <alignment horizontal="left"/>
    </xf>
    <xf numFmtId="0" fontId="12" fillId="2" borderId="0" xfId="0" applyFont="1" applyFill="1" applyAlignment="1">
      <alignment horizontal="left"/>
    </xf>
    <xf numFmtId="0" fontId="12" fillId="2" borderId="0" xfId="2" applyNumberFormat="1" applyFont="1" applyFill="1" applyAlignment="1">
      <alignment horizontal="left" vertical="center"/>
    </xf>
    <xf numFmtId="0" fontId="12" fillId="3" borderId="0" xfId="0" applyFont="1" applyFill="1" applyAlignment="1">
      <alignment horizontal="left"/>
    </xf>
    <xf numFmtId="14" fontId="0" fillId="0" borderId="0" xfId="0" applyNumberFormat="1" applyAlignment="1">
      <alignment horizontal="left"/>
    </xf>
    <xf numFmtId="14" fontId="12" fillId="0" borderId="0" xfId="0" applyNumberFormat="1" applyFont="1" applyAlignment="1">
      <alignment horizontal="left"/>
    </xf>
    <xf numFmtId="0" fontId="0" fillId="6" borderId="0" xfId="0" applyFill="1" applyAlignment="1">
      <alignment horizontal="left"/>
    </xf>
    <xf numFmtId="0" fontId="12" fillId="0" borderId="0" xfId="0" applyFont="1" applyAlignment="1">
      <alignment horizontal="left"/>
    </xf>
    <xf numFmtId="0" fontId="14" fillId="8" borderId="0" xfId="4" applyFont="1"/>
    <xf numFmtId="0" fontId="13" fillId="7" borderId="0" xfId="3" applyAlignment="1">
      <alignment horizontal="left"/>
    </xf>
    <xf numFmtId="43" fontId="0" fillId="0" borderId="0" xfId="1" applyFont="1" applyAlignment="1">
      <alignment horizontal="left"/>
    </xf>
    <xf numFmtId="43" fontId="12" fillId="0" borderId="0" xfId="1" applyFont="1" applyAlignment="1">
      <alignment horizontal="left"/>
    </xf>
  </cellXfs>
  <cellStyles count="5">
    <cellStyle name="20% - Accent2" xfId="4" builtinId="34"/>
    <cellStyle name="Bad" xfId="3" builtinId="27"/>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4D6F1-A700-0640-A93A-D9C854BF1CB6}">
  <dimension ref="A1:D27"/>
  <sheetViews>
    <sheetView zoomScale="85" zoomScaleNormal="85" workbookViewId="0"/>
  </sheetViews>
  <sheetFormatPr defaultColWidth="11" defaultRowHeight="15.5"/>
  <cols>
    <col min="1" max="23" width="29.1640625" customWidth="1"/>
  </cols>
  <sheetData>
    <row r="1" spans="1:4">
      <c r="A1" t="s">
        <v>116</v>
      </c>
    </row>
    <row r="2" spans="1:4">
      <c r="A2" t="s">
        <v>114</v>
      </c>
    </row>
    <row r="4" spans="1:4" ht="21">
      <c r="A4" s="2" t="s">
        <v>0</v>
      </c>
      <c r="B4" s="3" t="s">
        <v>1</v>
      </c>
      <c r="C4" s="2" t="s">
        <v>2</v>
      </c>
      <c r="D4" s="3" t="s">
        <v>1</v>
      </c>
    </row>
    <row r="5" spans="1:4">
      <c r="A5" s="4" t="s">
        <v>3</v>
      </c>
      <c r="B5" s="5" t="s">
        <v>4</v>
      </c>
      <c r="C5" s="4" t="s">
        <v>5</v>
      </c>
      <c r="D5" s="5" t="s">
        <v>6</v>
      </c>
    </row>
    <row r="6" spans="1:4">
      <c r="A6" s="4" t="s">
        <v>5</v>
      </c>
      <c r="B6" s="5" t="s">
        <v>6</v>
      </c>
      <c r="C6" s="4" t="s">
        <v>7</v>
      </c>
      <c r="D6" s="5" t="s">
        <v>8</v>
      </c>
    </row>
    <row r="7" spans="1:4" ht="409.5">
      <c r="A7" s="4" t="s">
        <v>9</v>
      </c>
      <c r="B7" s="5" t="s">
        <v>117</v>
      </c>
      <c r="C7" s="4" t="s">
        <v>10</v>
      </c>
      <c r="D7" s="5" t="s">
        <v>11</v>
      </c>
    </row>
    <row r="8" spans="1:4" ht="124">
      <c r="A8" s="4" t="s">
        <v>12</v>
      </c>
      <c r="B8" s="5" t="s">
        <v>115</v>
      </c>
      <c r="C8" s="4" t="s">
        <v>13</v>
      </c>
      <c r="D8" s="5" t="s">
        <v>119</v>
      </c>
    </row>
    <row r="9" spans="1:4" ht="139.5">
      <c r="A9" s="4" t="s">
        <v>14</v>
      </c>
      <c r="B9" s="5" t="s">
        <v>15</v>
      </c>
      <c r="C9" s="4" t="s">
        <v>16</v>
      </c>
      <c r="D9" s="5" t="s">
        <v>120</v>
      </c>
    </row>
    <row r="10" spans="1:4" ht="46.5">
      <c r="A10" s="4" t="s">
        <v>17</v>
      </c>
      <c r="B10" s="5" t="s">
        <v>18</v>
      </c>
      <c r="C10" s="4" t="s">
        <v>19</v>
      </c>
      <c r="D10" s="5" t="s">
        <v>20</v>
      </c>
    </row>
    <row r="11" spans="1:4" ht="46.5">
      <c r="A11" s="4" t="s">
        <v>21</v>
      </c>
      <c r="B11" s="5" t="s">
        <v>22</v>
      </c>
      <c r="C11" s="4" t="s">
        <v>23</v>
      </c>
      <c r="D11" s="5" t="s">
        <v>24</v>
      </c>
    </row>
    <row r="12" spans="1:4" ht="31">
      <c r="A12" s="4" t="s">
        <v>25</v>
      </c>
      <c r="B12" s="5" t="s">
        <v>26</v>
      </c>
      <c r="C12" s="6"/>
      <c r="D12" s="6"/>
    </row>
    <row r="13" spans="1:4">
      <c r="A13" s="4" t="s">
        <v>27</v>
      </c>
      <c r="B13" s="5" t="s">
        <v>28</v>
      </c>
      <c r="C13" s="6"/>
      <c r="D13" s="6"/>
    </row>
    <row r="14" spans="1:4" ht="46.5">
      <c r="A14" s="4" t="s">
        <v>29</v>
      </c>
      <c r="B14" s="5" t="s">
        <v>30</v>
      </c>
      <c r="C14" s="6"/>
      <c r="D14" s="6"/>
    </row>
    <row r="15" spans="1:4" ht="77.5">
      <c r="A15" s="4" t="s">
        <v>31</v>
      </c>
      <c r="B15" s="5" t="s">
        <v>32</v>
      </c>
      <c r="C15" s="6"/>
      <c r="D15" s="6"/>
    </row>
    <row r="16" spans="1:4" ht="46.5">
      <c r="A16" s="4" t="s">
        <v>33</v>
      </c>
      <c r="B16" s="5" t="s">
        <v>34</v>
      </c>
      <c r="C16" s="6"/>
      <c r="D16" s="6"/>
    </row>
    <row r="17" spans="1:4" ht="31">
      <c r="A17" s="4" t="s">
        <v>35</v>
      </c>
      <c r="B17" s="5" t="s">
        <v>36</v>
      </c>
      <c r="C17" s="6"/>
      <c r="D17" s="6"/>
    </row>
    <row r="18" spans="1:4" ht="46.5">
      <c r="A18" s="4" t="s">
        <v>37</v>
      </c>
      <c r="B18" s="5" t="s">
        <v>38</v>
      </c>
      <c r="C18" s="6"/>
      <c r="D18" s="6"/>
    </row>
    <row r="19" spans="1:4" ht="31">
      <c r="A19" s="4" t="s">
        <v>39</v>
      </c>
      <c r="B19" s="5" t="s">
        <v>40</v>
      </c>
      <c r="C19" s="6"/>
      <c r="D19" s="6"/>
    </row>
    <row r="20" spans="1:4" ht="46.5">
      <c r="A20" s="4" t="s">
        <v>41</v>
      </c>
      <c r="B20" s="5" t="s">
        <v>42</v>
      </c>
      <c r="C20" s="6"/>
      <c r="D20" s="6"/>
    </row>
    <row r="21" spans="1:4" ht="46.5">
      <c r="A21" s="4" t="s">
        <v>43</v>
      </c>
      <c r="B21" s="5" t="s">
        <v>44</v>
      </c>
      <c r="C21" s="6"/>
      <c r="D21" s="6"/>
    </row>
    <row r="22" spans="1:4" ht="46.5">
      <c r="A22" s="4" t="s">
        <v>45</v>
      </c>
      <c r="B22" s="5" t="s">
        <v>46</v>
      </c>
      <c r="C22" s="6"/>
      <c r="D22" s="6"/>
    </row>
    <row r="23" spans="1:4" ht="31">
      <c r="A23" s="4" t="s">
        <v>47</v>
      </c>
      <c r="B23" s="5" t="s">
        <v>48</v>
      </c>
      <c r="C23" s="6"/>
      <c r="D23" s="6"/>
    </row>
    <row r="24" spans="1:4" ht="62">
      <c r="A24" s="4" t="s">
        <v>49</v>
      </c>
      <c r="B24" s="5" t="s">
        <v>50</v>
      </c>
      <c r="C24" s="6"/>
      <c r="D24" s="6"/>
    </row>
    <row r="25" spans="1:4" ht="62">
      <c r="A25" s="4" t="s">
        <v>51</v>
      </c>
      <c r="B25" s="5" t="s">
        <v>52</v>
      </c>
      <c r="C25" s="6"/>
      <c r="D25" s="6"/>
    </row>
    <row r="26" spans="1:4" ht="62">
      <c r="A26" s="4" t="s">
        <v>53</v>
      </c>
      <c r="B26" s="5" t="s">
        <v>54</v>
      </c>
      <c r="C26" s="6"/>
      <c r="D26" s="6"/>
    </row>
    <row r="27" spans="1:4" ht="46.5">
      <c r="A27" s="4" t="s">
        <v>55</v>
      </c>
      <c r="B27" s="5" t="s">
        <v>56</v>
      </c>
      <c r="C27" s="6"/>
      <c r="D27"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BC2FA-FA18-814B-8D39-ECEBDFF49449}">
  <dimension ref="A1:AF42"/>
  <sheetViews>
    <sheetView tabSelected="1" topLeftCell="F1" zoomScale="85" zoomScaleNormal="85" workbookViewId="0">
      <selection activeCell="AE28" sqref="AE28:AF29"/>
    </sheetView>
  </sheetViews>
  <sheetFormatPr defaultColWidth="11" defaultRowHeight="15.5"/>
  <cols>
    <col min="1" max="2" width="11" style="13"/>
    <col min="3" max="3" width="21.83203125" style="13" bestFit="1" customWidth="1"/>
    <col min="4" max="4" width="11" style="13"/>
    <col min="5" max="5" width="19.83203125" style="13" customWidth="1"/>
    <col min="6" max="6" width="24.5" style="13" customWidth="1"/>
    <col min="7" max="7" width="11" style="13"/>
    <col min="8" max="8" width="14.1640625" style="13" customWidth="1"/>
    <col min="9" max="9" width="17.33203125" style="13" customWidth="1"/>
    <col min="10" max="12" width="11" style="13"/>
    <col min="13" max="13" width="17.33203125" style="13" customWidth="1"/>
    <col min="14" max="15" width="11" style="13"/>
    <col min="16" max="16" width="16.83203125" style="13" customWidth="1"/>
    <col min="17" max="17" width="15.83203125" style="13" customWidth="1"/>
    <col min="18" max="18" width="18.5" style="13" customWidth="1"/>
    <col min="19" max="19" width="18.6640625" style="13" customWidth="1"/>
    <col min="20" max="20" width="14" style="13" customWidth="1"/>
    <col min="21" max="21" width="11" style="13"/>
    <col min="22" max="22" width="19.83203125" style="13" customWidth="1"/>
    <col min="23" max="23" width="21.33203125" style="13" customWidth="1"/>
    <col min="24" max="16384" width="11" style="13"/>
  </cols>
  <sheetData>
    <row r="1" spans="1:32" s="8" customFormat="1">
      <c r="A1" s="8" t="s">
        <v>3</v>
      </c>
      <c r="B1" s="8" t="s">
        <v>5</v>
      </c>
      <c r="C1" s="8" t="s">
        <v>9</v>
      </c>
      <c r="D1" s="8" t="s">
        <v>12</v>
      </c>
      <c r="E1" s="8" t="s">
        <v>14</v>
      </c>
      <c r="F1" s="8" t="s">
        <v>17</v>
      </c>
      <c r="G1" s="8" t="s">
        <v>21</v>
      </c>
      <c r="H1" s="8" t="s">
        <v>25</v>
      </c>
      <c r="I1" s="8" t="s">
        <v>27</v>
      </c>
      <c r="J1" s="8" t="s">
        <v>137</v>
      </c>
      <c r="K1" s="8" t="s">
        <v>31</v>
      </c>
      <c r="L1" s="8" t="s">
        <v>33</v>
      </c>
      <c r="M1" s="8" t="s">
        <v>35</v>
      </c>
      <c r="N1" s="8" t="s">
        <v>37</v>
      </c>
      <c r="O1" s="8" t="s">
        <v>39</v>
      </c>
      <c r="P1" s="8" t="s">
        <v>41</v>
      </c>
      <c r="Q1" s="8" t="s">
        <v>43</v>
      </c>
      <c r="R1" s="8" t="s">
        <v>45</v>
      </c>
      <c r="S1" s="8" t="s">
        <v>47</v>
      </c>
      <c r="T1" s="8" t="s">
        <v>49</v>
      </c>
      <c r="U1" s="8" t="s">
        <v>51</v>
      </c>
      <c r="V1" s="8" t="s">
        <v>53</v>
      </c>
      <c r="W1" s="8" t="s">
        <v>55</v>
      </c>
      <c r="X1" s="8" t="s">
        <v>124</v>
      </c>
      <c r="Y1" s="8" t="s">
        <v>125</v>
      </c>
      <c r="Z1" s="8" t="s">
        <v>126</v>
      </c>
      <c r="AA1" s="37" t="s">
        <v>130</v>
      </c>
      <c r="AB1" s="37" t="s">
        <v>131</v>
      </c>
      <c r="AC1" s="37" t="s">
        <v>132</v>
      </c>
      <c r="AD1" s="37" t="s">
        <v>133</v>
      </c>
      <c r="AE1" s="37" t="s">
        <v>134</v>
      </c>
      <c r="AF1" s="37" t="s">
        <v>135</v>
      </c>
    </row>
    <row r="2" spans="1:32">
      <c r="A2" s="9" t="s">
        <v>57</v>
      </c>
      <c r="B2" s="9" t="s">
        <v>58</v>
      </c>
      <c r="C2" s="9" t="s">
        <v>59</v>
      </c>
      <c r="D2" s="9" t="s">
        <v>60</v>
      </c>
      <c r="E2" s="10" t="s">
        <v>61</v>
      </c>
      <c r="F2" s="10" t="s">
        <v>62</v>
      </c>
      <c r="G2" s="10" t="s">
        <v>62</v>
      </c>
      <c r="H2" s="11">
        <v>-11107</v>
      </c>
      <c r="I2" s="9">
        <v>9000000</v>
      </c>
      <c r="J2" s="9">
        <v>10</v>
      </c>
      <c r="K2" s="12">
        <v>0</v>
      </c>
      <c r="L2" s="12">
        <v>2353</v>
      </c>
      <c r="M2" s="9">
        <v>2353</v>
      </c>
      <c r="N2" s="9" t="b">
        <v>0</v>
      </c>
      <c r="O2" s="9"/>
      <c r="P2" s="9"/>
      <c r="Q2" s="9"/>
      <c r="R2" s="9"/>
      <c r="S2" s="9" t="b">
        <v>0</v>
      </c>
      <c r="T2" s="9"/>
      <c r="U2" s="9"/>
      <c r="V2" s="9" t="b">
        <v>0</v>
      </c>
      <c r="W2" s="9" t="b">
        <v>0</v>
      </c>
      <c r="X2" s="33">
        <v>45838</v>
      </c>
      <c r="Y2" s="33">
        <f>X2+L2</f>
        <v>48191</v>
      </c>
      <c r="Z2" s="13">
        <v>-1</v>
      </c>
      <c r="AA2" s="13" t="b">
        <v>0</v>
      </c>
      <c r="AB2" s="13">
        <v>1</v>
      </c>
      <c r="AC2" s="13" t="b">
        <v>0</v>
      </c>
      <c r="AD2" s="13" t="b">
        <v>0</v>
      </c>
      <c r="AE2" s="13" t="b">
        <v>0</v>
      </c>
      <c r="AF2" s="13" t="b">
        <v>0</v>
      </c>
    </row>
    <row r="3" spans="1:32">
      <c r="A3" s="9" t="s">
        <v>63</v>
      </c>
      <c r="B3" s="9" t="s">
        <v>58</v>
      </c>
      <c r="C3" s="9" t="s">
        <v>59</v>
      </c>
      <c r="D3" s="9" t="s">
        <v>60</v>
      </c>
      <c r="E3" s="10" t="s">
        <v>61</v>
      </c>
      <c r="F3" s="10" t="s">
        <v>62</v>
      </c>
      <c r="G3" s="10" t="s">
        <v>62</v>
      </c>
      <c r="H3" s="11">
        <v>-16660</v>
      </c>
      <c r="I3" s="9">
        <v>36000000</v>
      </c>
      <c r="J3" s="9">
        <v>10</v>
      </c>
      <c r="K3" s="12">
        <v>0</v>
      </c>
      <c r="L3" s="12">
        <v>961</v>
      </c>
      <c r="M3" s="9">
        <v>961</v>
      </c>
      <c r="N3" s="9" t="b">
        <v>0</v>
      </c>
      <c r="O3" s="9"/>
      <c r="P3" s="9"/>
      <c r="Q3" s="9"/>
      <c r="R3" s="9"/>
      <c r="S3" s="9" t="b">
        <v>0</v>
      </c>
      <c r="T3" s="9"/>
      <c r="U3" s="9"/>
      <c r="V3" s="9" t="b">
        <v>0</v>
      </c>
      <c r="W3" s="9" t="b">
        <v>0</v>
      </c>
      <c r="X3" s="33">
        <v>45838</v>
      </c>
      <c r="Y3" s="33">
        <f t="shared" ref="Y3:Y29" si="0">X3+L3</f>
        <v>46799</v>
      </c>
      <c r="Z3" s="13">
        <v>-1</v>
      </c>
      <c r="AA3" s="13" t="b">
        <v>0</v>
      </c>
      <c r="AB3" s="13">
        <v>1</v>
      </c>
      <c r="AC3" s="13" t="b">
        <v>0</v>
      </c>
      <c r="AD3" s="13" t="b">
        <v>0</v>
      </c>
      <c r="AE3" s="13" t="b">
        <v>0</v>
      </c>
      <c r="AF3" s="13" t="b">
        <v>0</v>
      </c>
    </row>
    <row r="4" spans="1:32">
      <c r="A4" s="9" t="s">
        <v>64</v>
      </c>
      <c r="B4" s="9" t="s">
        <v>58</v>
      </c>
      <c r="C4" s="9" t="s">
        <v>59</v>
      </c>
      <c r="D4" s="9" t="s">
        <v>60</v>
      </c>
      <c r="E4" s="10" t="s">
        <v>61</v>
      </c>
      <c r="F4" s="10" t="s">
        <v>62</v>
      </c>
      <c r="G4" s="10" t="s">
        <v>62</v>
      </c>
      <c r="H4" s="11">
        <v>-5553</v>
      </c>
      <c r="I4" s="9">
        <v>4000000</v>
      </c>
      <c r="J4" s="9">
        <v>10</v>
      </c>
      <c r="K4" s="12">
        <v>0</v>
      </c>
      <c r="L4" s="12">
        <v>199</v>
      </c>
      <c r="M4" s="9">
        <v>199</v>
      </c>
      <c r="N4" s="9" t="b">
        <v>0</v>
      </c>
      <c r="O4" s="9"/>
      <c r="P4" s="9"/>
      <c r="Q4" s="9"/>
      <c r="R4" s="9"/>
      <c r="S4" s="9" t="b">
        <v>0</v>
      </c>
      <c r="T4" s="9"/>
      <c r="U4" s="9"/>
      <c r="V4" s="9" t="b">
        <v>0</v>
      </c>
      <c r="W4" s="9" t="b">
        <v>0</v>
      </c>
      <c r="X4" s="33">
        <v>45838</v>
      </c>
      <c r="Y4" s="33">
        <f t="shared" si="0"/>
        <v>46037</v>
      </c>
      <c r="Z4" s="13">
        <v>-1</v>
      </c>
      <c r="AA4" s="13" t="b">
        <v>0</v>
      </c>
      <c r="AB4" s="13">
        <v>1</v>
      </c>
      <c r="AC4" s="13" t="b">
        <v>0</v>
      </c>
      <c r="AD4" s="13" t="b">
        <v>0</v>
      </c>
      <c r="AE4" s="13" t="b">
        <v>0</v>
      </c>
      <c r="AF4" s="13" t="b">
        <v>0</v>
      </c>
    </row>
    <row r="5" spans="1:32">
      <c r="A5" s="9" t="s">
        <v>65</v>
      </c>
      <c r="B5" s="9" t="s">
        <v>58</v>
      </c>
      <c r="C5" s="9" t="s">
        <v>66</v>
      </c>
      <c r="D5" s="9" t="s">
        <v>67</v>
      </c>
      <c r="E5" s="10" t="s">
        <v>68</v>
      </c>
      <c r="F5" s="10" t="s">
        <v>69</v>
      </c>
      <c r="G5" s="10" t="s">
        <v>62</v>
      </c>
      <c r="H5" s="11">
        <v>135000</v>
      </c>
      <c r="I5" s="9">
        <v>300000</v>
      </c>
      <c r="J5" s="9">
        <v>10</v>
      </c>
      <c r="K5" s="12">
        <v>0</v>
      </c>
      <c r="L5" s="12">
        <v>65</v>
      </c>
      <c r="M5" s="9">
        <v>65</v>
      </c>
      <c r="N5" s="9" t="b">
        <v>0</v>
      </c>
      <c r="O5" s="9"/>
      <c r="P5" s="9"/>
      <c r="Q5" s="9"/>
      <c r="R5" s="9"/>
      <c r="S5" s="9" t="b">
        <v>0</v>
      </c>
      <c r="T5" s="9"/>
      <c r="U5" s="9"/>
      <c r="V5" s="9" t="b">
        <v>0</v>
      </c>
      <c r="W5" s="9" t="b">
        <v>0</v>
      </c>
      <c r="X5" s="33">
        <v>45838</v>
      </c>
      <c r="Y5" s="33">
        <f t="shared" si="0"/>
        <v>45903</v>
      </c>
      <c r="Z5" s="13">
        <v>1</v>
      </c>
      <c r="AA5" s="13" t="b">
        <v>0</v>
      </c>
      <c r="AB5" s="13">
        <v>1</v>
      </c>
      <c r="AC5" s="13" t="b">
        <v>0</v>
      </c>
      <c r="AD5" s="13" t="b">
        <v>0</v>
      </c>
      <c r="AE5" s="13" t="b">
        <v>0</v>
      </c>
      <c r="AF5" s="13" t="b">
        <v>0</v>
      </c>
    </row>
    <row r="6" spans="1:32" s="16" customFormat="1">
      <c r="A6" s="9" t="s">
        <v>70</v>
      </c>
      <c r="B6" s="11" t="s">
        <v>58</v>
      </c>
      <c r="C6" s="11" t="s">
        <v>71</v>
      </c>
      <c r="D6" s="11" t="s">
        <v>67</v>
      </c>
      <c r="E6" s="14" t="s">
        <v>72</v>
      </c>
      <c r="F6" s="14" t="s">
        <v>73</v>
      </c>
      <c r="G6" s="14" t="s">
        <v>62</v>
      </c>
      <c r="H6" s="11">
        <v>70040</v>
      </c>
      <c r="I6" s="11">
        <v>760473</v>
      </c>
      <c r="J6" s="9">
        <v>10</v>
      </c>
      <c r="K6" s="15">
        <v>251</v>
      </c>
      <c r="L6" s="15">
        <v>1068</v>
      </c>
      <c r="M6" s="11">
        <v>251</v>
      </c>
      <c r="N6" s="11" t="b">
        <v>1</v>
      </c>
      <c r="O6" s="11" t="s">
        <v>74</v>
      </c>
      <c r="P6" s="11">
        <v>7.4830000000000001E-3</v>
      </c>
      <c r="Q6" s="11">
        <v>0.03</v>
      </c>
      <c r="R6" s="11">
        <v>251</v>
      </c>
      <c r="S6" s="11" t="b">
        <v>0</v>
      </c>
      <c r="T6" s="11"/>
      <c r="U6" s="11"/>
      <c r="V6" s="11" t="b">
        <v>0</v>
      </c>
      <c r="W6" s="11" t="b">
        <v>0</v>
      </c>
      <c r="X6" s="33">
        <v>45838</v>
      </c>
      <c r="Y6" s="33">
        <f t="shared" si="0"/>
        <v>46906</v>
      </c>
      <c r="Z6" s="16">
        <v>9.1521435516482105E-2</v>
      </c>
      <c r="AA6" s="13" t="b">
        <v>0</v>
      </c>
      <c r="AB6" s="13">
        <v>1</v>
      </c>
      <c r="AC6" s="13" t="b">
        <v>0</v>
      </c>
      <c r="AD6" s="13" t="b">
        <v>0</v>
      </c>
      <c r="AE6" s="13" t="b">
        <v>0</v>
      </c>
      <c r="AF6" s="13" t="b">
        <v>0</v>
      </c>
    </row>
    <row r="7" spans="1:32">
      <c r="A7" s="9" t="s">
        <v>75</v>
      </c>
      <c r="B7" s="11" t="s">
        <v>58</v>
      </c>
      <c r="C7" s="9" t="s">
        <v>76</v>
      </c>
      <c r="D7" s="9" t="s">
        <v>60</v>
      </c>
      <c r="E7" s="10" t="s">
        <v>77</v>
      </c>
      <c r="F7" s="10" t="s">
        <v>62</v>
      </c>
      <c r="G7" s="10" t="s">
        <v>62</v>
      </c>
      <c r="H7" s="9">
        <v>-8291</v>
      </c>
      <c r="I7" s="9">
        <v>131766.9</v>
      </c>
      <c r="J7" s="9">
        <v>10</v>
      </c>
      <c r="K7" s="12">
        <v>0</v>
      </c>
      <c r="L7" s="12">
        <v>158</v>
      </c>
      <c r="M7" s="9">
        <v>158</v>
      </c>
      <c r="N7" s="9" t="b">
        <v>0</v>
      </c>
      <c r="O7" s="9"/>
      <c r="P7" s="9"/>
      <c r="Q7" s="9"/>
      <c r="R7" s="9"/>
      <c r="S7" s="9" t="b">
        <v>0</v>
      </c>
      <c r="T7" s="9"/>
      <c r="U7" s="9"/>
      <c r="V7" s="9" t="b">
        <v>0</v>
      </c>
      <c r="W7" s="9" t="b">
        <v>0</v>
      </c>
      <c r="X7" s="33">
        <v>45838</v>
      </c>
      <c r="Y7" s="33">
        <f t="shared" si="0"/>
        <v>45996</v>
      </c>
      <c r="Z7" s="13">
        <v>-1</v>
      </c>
      <c r="AA7" s="13" t="b">
        <v>0</v>
      </c>
      <c r="AB7" s="13">
        <v>1</v>
      </c>
      <c r="AC7" s="13" t="b">
        <v>0</v>
      </c>
      <c r="AD7" s="13" t="b">
        <v>0</v>
      </c>
      <c r="AE7" s="13" t="b">
        <v>0</v>
      </c>
      <c r="AF7" s="13" t="b">
        <v>0</v>
      </c>
    </row>
    <row r="8" spans="1:32">
      <c r="A8" s="9" t="s">
        <v>78</v>
      </c>
      <c r="B8" s="11" t="s">
        <v>58</v>
      </c>
      <c r="C8" s="9" t="s">
        <v>79</v>
      </c>
      <c r="D8" s="9" t="s">
        <v>60</v>
      </c>
      <c r="E8" s="10" t="s">
        <v>77</v>
      </c>
      <c r="F8" s="10" t="s">
        <v>62</v>
      </c>
      <c r="G8" s="10" t="s">
        <v>62</v>
      </c>
      <c r="H8" s="9">
        <v>-5300</v>
      </c>
      <c r="I8" s="9">
        <v>27663.040000000001</v>
      </c>
      <c r="J8" s="9">
        <v>10</v>
      </c>
      <c r="K8" s="12">
        <v>0</v>
      </c>
      <c r="L8" s="12">
        <v>220</v>
      </c>
      <c r="M8" s="9">
        <v>220</v>
      </c>
      <c r="N8" s="9" t="b">
        <v>0</v>
      </c>
      <c r="O8" s="9"/>
      <c r="P8" s="9"/>
      <c r="Q8" s="9"/>
      <c r="R8" s="9"/>
      <c r="S8" s="9" t="b">
        <v>0</v>
      </c>
      <c r="T8" s="9"/>
      <c r="U8" s="9"/>
      <c r="V8" s="9" t="b">
        <v>0</v>
      </c>
      <c r="W8" s="9" t="b">
        <v>0</v>
      </c>
      <c r="X8" s="33">
        <v>45838</v>
      </c>
      <c r="Y8" s="33">
        <f t="shared" si="0"/>
        <v>46058</v>
      </c>
      <c r="Z8" s="13">
        <v>-1</v>
      </c>
      <c r="AA8" s="13" t="b">
        <v>0</v>
      </c>
      <c r="AB8" s="13">
        <v>1</v>
      </c>
      <c r="AC8" s="13" t="b">
        <v>0</v>
      </c>
      <c r="AD8" s="13" t="b">
        <v>0</v>
      </c>
      <c r="AE8" s="13" t="b">
        <v>0</v>
      </c>
      <c r="AF8" s="13" t="b">
        <v>0</v>
      </c>
    </row>
    <row r="9" spans="1:32">
      <c r="A9" s="9" t="s">
        <v>80</v>
      </c>
      <c r="B9" s="9" t="s">
        <v>58</v>
      </c>
      <c r="C9" s="9" t="s">
        <v>81</v>
      </c>
      <c r="D9" s="9" t="s">
        <v>67</v>
      </c>
      <c r="E9" s="10" t="s">
        <v>82</v>
      </c>
      <c r="F9" s="10" t="s">
        <v>62</v>
      </c>
      <c r="G9" s="10" t="s">
        <v>62</v>
      </c>
      <c r="H9" s="17">
        <v>813000</v>
      </c>
      <c r="I9" s="1">
        <v>6883500</v>
      </c>
      <c r="J9" s="9">
        <v>10</v>
      </c>
      <c r="K9" s="18">
        <v>0</v>
      </c>
      <c r="L9" s="18">
        <v>250</v>
      </c>
      <c r="M9" s="9">
        <v>250</v>
      </c>
      <c r="N9" s="9" t="b">
        <v>1</v>
      </c>
      <c r="O9" s="9" t="s">
        <v>74</v>
      </c>
      <c r="P9" s="1">
        <v>4589</v>
      </c>
      <c r="Q9" s="1">
        <v>4589</v>
      </c>
      <c r="R9" s="1">
        <v>250</v>
      </c>
      <c r="S9" s="9" t="b">
        <v>0</v>
      </c>
      <c r="T9" s="9"/>
      <c r="U9" s="9"/>
      <c r="V9" s="9" t="b">
        <v>0</v>
      </c>
      <c r="W9" s="9" t="b">
        <v>0</v>
      </c>
      <c r="X9" s="33">
        <v>45838</v>
      </c>
      <c r="Y9" s="33">
        <f t="shared" si="0"/>
        <v>46088</v>
      </c>
      <c r="Z9" s="13">
        <v>0.64616976667272297</v>
      </c>
      <c r="AA9" s="13" t="b">
        <v>0</v>
      </c>
      <c r="AB9" s="13">
        <v>1</v>
      </c>
      <c r="AC9" s="13" t="b">
        <v>0</v>
      </c>
      <c r="AD9" s="13" t="b">
        <v>0</v>
      </c>
      <c r="AE9" s="13" t="b">
        <v>0</v>
      </c>
      <c r="AF9" s="13" t="b">
        <v>0</v>
      </c>
    </row>
    <row r="10" spans="1:32">
      <c r="A10" s="9" t="s">
        <v>83</v>
      </c>
      <c r="B10" s="9" t="s">
        <v>58</v>
      </c>
      <c r="C10" s="9" t="s">
        <v>84</v>
      </c>
      <c r="D10" s="9" t="s">
        <v>60</v>
      </c>
      <c r="E10" s="10" t="s">
        <v>82</v>
      </c>
      <c r="F10" s="10" t="s">
        <v>62</v>
      </c>
      <c r="G10" s="10" t="s">
        <v>62</v>
      </c>
      <c r="H10" s="17">
        <v>-459120</v>
      </c>
      <c r="I10" s="1">
        <v>5139168</v>
      </c>
      <c r="J10" s="9">
        <v>10</v>
      </c>
      <c r="K10" s="18">
        <v>0</v>
      </c>
      <c r="L10" s="18">
        <v>250</v>
      </c>
      <c r="M10" s="9">
        <v>250</v>
      </c>
      <c r="N10" s="9" t="b">
        <v>1</v>
      </c>
      <c r="O10" s="9" t="s">
        <v>74</v>
      </c>
      <c r="P10" s="1">
        <v>4282.6400000000003</v>
      </c>
      <c r="Q10" s="1">
        <v>4282.6400000000003</v>
      </c>
      <c r="R10" s="1">
        <v>250</v>
      </c>
      <c r="S10" s="9" t="b">
        <v>0</v>
      </c>
      <c r="T10" s="9"/>
      <c r="U10" s="9"/>
      <c r="V10" s="9" t="b">
        <v>0</v>
      </c>
      <c r="W10" s="9" t="b">
        <v>0</v>
      </c>
      <c r="X10" s="33">
        <v>45838</v>
      </c>
      <c r="Y10" s="33">
        <f t="shared" si="0"/>
        <v>46088</v>
      </c>
      <c r="Z10" s="13">
        <v>-0.64616976667272297</v>
      </c>
      <c r="AA10" s="13" t="b">
        <v>0</v>
      </c>
      <c r="AB10" s="13">
        <v>1</v>
      </c>
      <c r="AC10" s="13" t="b">
        <v>0</v>
      </c>
      <c r="AD10" s="13" t="b">
        <v>0</v>
      </c>
      <c r="AE10" s="13" t="b">
        <v>0</v>
      </c>
      <c r="AF10" s="13" t="b">
        <v>0</v>
      </c>
    </row>
    <row r="11" spans="1:32">
      <c r="A11" s="9" t="s">
        <v>85</v>
      </c>
      <c r="B11" s="9" t="s">
        <v>58</v>
      </c>
      <c r="C11" s="9" t="s">
        <v>86</v>
      </c>
      <c r="D11" s="9" t="s">
        <v>67</v>
      </c>
      <c r="E11" s="9" t="s">
        <v>87</v>
      </c>
      <c r="F11" s="9" t="s">
        <v>88</v>
      </c>
      <c r="G11" s="9" t="s">
        <v>89</v>
      </c>
      <c r="H11" s="9">
        <v>400800</v>
      </c>
      <c r="I11" s="9">
        <v>964228</v>
      </c>
      <c r="J11" s="9">
        <v>10</v>
      </c>
      <c r="K11" s="12">
        <v>0</v>
      </c>
      <c r="L11" s="12">
        <v>125</v>
      </c>
      <c r="M11" s="9">
        <v>125</v>
      </c>
      <c r="N11" s="9" t="b">
        <v>1</v>
      </c>
      <c r="O11" s="9" t="s">
        <v>74</v>
      </c>
      <c r="P11" s="9">
        <v>120</v>
      </c>
      <c r="Q11" s="9">
        <v>120</v>
      </c>
      <c r="R11" s="9">
        <v>125</v>
      </c>
      <c r="S11" s="9" t="b">
        <v>0</v>
      </c>
      <c r="T11" s="9"/>
      <c r="U11" s="9"/>
      <c r="V11" s="19" t="b">
        <v>0</v>
      </c>
      <c r="W11" s="19" t="b">
        <v>0</v>
      </c>
      <c r="X11" s="33">
        <v>45838</v>
      </c>
      <c r="Y11" s="33">
        <f t="shared" si="0"/>
        <v>45963</v>
      </c>
      <c r="Z11" s="13">
        <v>0.59773446890843795</v>
      </c>
      <c r="AA11" s="13" t="b">
        <v>0</v>
      </c>
      <c r="AB11" s="13">
        <v>1</v>
      </c>
      <c r="AC11" s="13" t="b">
        <v>0</v>
      </c>
      <c r="AD11" s="13" t="b">
        <v>0</v>
      </c>
      <c r="AE11" s="13" t="b">
        <v>0</v>
      </c>
      <c r="AF11" s="13" t="b">
        <v>0</v>
      </c>
    </row>
    <row r="12" spans="1:32">
      <c r="A12" s="9" t="s">
        <v>90</v>
      </c>
      <c r="B12" s="9" t="s">
        <v>58</v>
      </c>
      <c r="C12" s="9" t="s">
        <v>91</v>
      </c>
      <c r="D12" s="9" t="s">
        <v>60</v>
      </c>
      <c r="E12" s="9" t="s">
        <v>87</v>
      </c>
      <c r="F12" s="9" t="s">
        <v>88</v>
      </c>
      <c r="G12" s="9" t="s">
        <v>91</v>
      </c>
      <c r="H12" s="9">
        <v>-365500</v>
      </c>
      <c r="I12" s="9">
        <v>951770</v>
      </c>
      <c r="J12" s="9">
        <v>10</v>
      </c>
      <c r="K12" s="12">
        <v>0</v>
      </c>
      <c r="L12" s="12">
        <v>125</v>
      </c>
      <c r="M12" s="9">
        <v>125</v>
      </c>
      <c r="N12" s="9" t="b">
        <v>0</v>
      </c>
      <c r="O12" s="9"/>
      <c r="P12" s="9"/>
      <c r="Q12" s="9"/>
      <c r="R12" s="9"/>
      <c r="S12" s="9" t="b">
        <v>0</v>
      </c>
      <c r="T12" s="9"/>
      <c r="U12" s="9"/>
      <c r="V12" s="19" t="b">
        <v>0</v>
      </c>
      <c r="W12" s="19" t="b">
        <v>0</v>
      </c>
      <c r="X12" s="33">
        <v>45838</v>
      </c>
      <c r="Y12" s="33">
        <f t="shared" si="0"/>
        <v>45963</v>
      </c>
      <c r="Z12" s="13">
        <v>-1</v>
      </c>
      <c r="AA12" s="13" t="b">
        <v>0</v>
      </c>
      <c r="AB12" s="13">
        <v>1</v>
      </c>
      <c r="AC12" s="13" t="b">
        <v>0</v>
      </c>
      <c r="AD12" s="13" t="b">
        <v>0</v>
      </c>
      <c r="AE12" s="13" t="b">
        <v>0</v>
      </c>
      <c r="AF12" s="13" t="b">
        <v>0</v>
      </c>
    </row>
    <row r="13" spans="1:32">
      <c r="A13" s="9" t="s">
        <v>92</v>
      </c>
      <c r="B13" s="9" t="s">
        <v>58</v>
      </c>
      <c r="C13" s="9" t="s">
        <v>93</v>
      </c>
      <c r="D13" s="9" t="s">
        <v>60</v>
      </c>
      <c r="E13" s="9" t="s">
        <v>87</v>
      </c>
      <c r="F13" s="9" t="s">
        <v>89</v>
      </c>
      <c r="G13" s="9" t="s">
        <v>62</v>
      </c>
      <c r="H13" s="9">
        <v>-423000</v>
      </c>
      <c r="I13" s="9">
        <v>357821</v>
      </c>
      <c r="J13" s="9">
        <v>10</v>
      </c>
      <c r="K13" s="12">
        <v>0</v>
      </c>
      <c r="L13" s="12">
        <v>125</v>
      </c>
      <c r="M13" s="9">
        <v>125</v>
      </c>
      <c r="N13" s="9" t="b">
        <v>0</v>
      </c>
      <c r="O13" s="9"/>
      <c r="P13" s="9"/>
      <c r="Q13" s="9"/>
      <c r="R13" s="9"/>
      <c r="S13" s="9" t="b">
        <v>0</v>
      </c>
      <c r="T13" s="9"/>
      <c r="U13" s="9"/>
      <c r="V13" s="19" t="b">
        <v>0</v>
      </c>
      <c r="W13" s="19" t="b">
        <v>0</v>
      </c>
      <c r="X13" s="33">
        <v>45838</v>
      </c>
      <c r="Y13" s="33">
        <f t="shared" si="0"/>
        <v>45963</v>
      </c>
      <c r="Z13" s="13">
        <v>-1</v>
      </c>
      <c r="AA13" s="13" t="b">
        <v>0</v>
      </c>
      <c r="AB13" s="13">
        <v>1</v>
      </c>
      <c r="AC13" s="13" t="b">
        <v>0</v>
      </c>
      <c r="AD13" s="13" t="b">
        <v>0</v>
      </c>
      <c r="AE13" s="13" t="b">
        <v>0</v>
      </c>
      <c r="AF13" s="13" t="b">
        <v>0</v>
      </c>
    </row>
    <row r="14" spans="1:32">
      <c r="A14" s="9" t="s">
        <v>94</v>
      </c>
      <c r="B14" s="9" t="s">
        <v>58</v>
      </c>
      <c r="C14" s="9" t="s">
        <v>95</v>
      </c>
      <c r="D14" s="9" t="s">
        <v>67</v>
      </c>
      <c r="E14" s="9" t="s">
        <v>87</v>
      </c>
      <c r="F14" s="9" t="s">
        <v>96</v>
      </c>
      <c r="G14" s="9" t="s">
        <v>62</v>
      </c>
      <c r="H14" s="9">
        <v>725649</v>
      </c>
      <c r="I14" s="9">
        <v>342599</v>
      </c>
      <c r="J14" s="9">
        <v>10</v>
      </c>
      <c r="K14" s="12">
        <v>0</v>
      </c>
      <c r="L14" s="12">
        <v>125</v>
      </c>
      <c r="M14" s="9">
        <v>125</v>
      </c>
      <c r="N14" s="9" t="b">
        <v>0</v>
      </c>
      <c r="O14" s="9"/>
      <c r="P14" s="9"/>
      <c r="Q14" s="9"/>
      <c r="R14" s="9"/>
      <c r="S14" s="9" t="b">
        <v>0</v>
      </c>
      <c r="T14" s="9"/>
      <c r="U14" s="9"/>
      <c r="V14" s="19" t="b">
        <v>0</v>
      </c>
      <c r="W14" s="19" t="b">
        <v>0</v>
      </c>
      <c r="X14" s="33">
        <v>45838</v>
      </c>
      <c r="Y14" s="33">
        <f t="shared" si="0"/>
        <v>45963</v>
      </c>
      <c r="Z14" s="13">
        <v>1</v>
      </c>
      <c r="AA14" s="13" t="b">
        <v>0</v>
      </c>
      <c r="AB14" s="13">
        <v>1</v>
      </c>
      <c r="AC14" s="13" t="b">
        <v>0</v>
      </c>
      <c r="AD14" s="13" t="b">
        <v>0</v>
      </c>
      <c r="AE14" s="13" t="b">
        <v>0</v>
      </c>
      <c r="AF14" s="13" t="b">
        <v>0</v>
      </c>
    </row>
    <row r="15" spans="1:32">
      <c r="A15" s="9" t="s">
        <v>97</v>
      </c>
      <c r="B15" s="9" t="s">
        <v>58</v>
      </c>
      <c r="C15" s="9" t="s">
        <v>98</v>
      </c>
      <c r="D15" s="9" t="s">
        <v>67</v>
      </c>
      <c r="E15" s="9" t="s">
        <v>87</v>
      </c>
      <c r="F15" s="9" t="s">
        <v>99</v>
      </c>
      <c r="G15" s="9" t="s">
        <v>62</v>
      </c>
      <c r="H15" s="9">
        <v>542000</v>
      </c>
      <c r="I15" s="9">
        <v>1925621</v>
      </c>
      <c r="J15" s="9">
        <v>10</v>
      </c>
      <c r="K15" s="12">
        <v>250</v>
      </c>
      <c r="L15" s="12">
        <v>500</v>
      </c>
      <c r="M15" s="9">
        <v>250</v>
      </c>
      <c r="N15" s="9" t="b">
        <v>0</v>
      </c>
      <c r="O15" s="9"/>
      <c r="P15" s="9"/>
      <c r="Q15" s="9"/>
      <c r="R15" s="9"/>
      <c r="S15" s="9" t="b">
        <v>0</v>
      </c>
      <c r="T15" s="9"/>
      <c r="U15" s="9"/>
      <c r="V15" s="19" t="b">
        <v>0</v>
      </c>
      <c r="W15" s="19" t="b">
        <v>0</v>
      </c>
      <c r="X15" s="33">
        <v>45838</v>
      </c>
      <c r="Y15" s="33">
        <f t="shared" si="0"/>
        <v>46338</v>
      </c>
      <c r="Z15" s="13">
        <v>1</v>
      </c>
      <c r="AA15" s="13" t="b">
        <v>0</v>
      </c>
      <c r="AB15" s="13">
        <v>1</v>
      </c>
      <c r="AC15" s="13" t="b">
        <v>0</v>
      </c>
      <c r="AD15" s="13" t="b">
        <v>0</v>
      </c>
      <c r="AE15" s="13" t="b">
        <v>0</v>
      </c>
      <c r="AF15" s="13" t="b">
        <v>0</v>
      </c>
    </row>
    <row r="16" spans="1:32">
      <c r="A16" s="20" t="s">
        <v>57</v>
      </c>
      <c r="B16" s="20" t="s">
        <v>100</v>
      </c>
      <c r="C16" s="20" t="s">
        <v>118</v>
      </c>
      <c r="D16" s="20" t="s">
        <v>67</v>
      </c>
      <c r="E16" s="21" t="s">
        <v>61</v>
      </c>
      <c r="F16" s="21" t="s">
        <v>62</v>
      </c>
      <c r="G16" s="21" t="s">
        <v>62</v>
      </c>
      <c r="H16" s="20">
        <v>11107</v>
      </c>
      <c r="I16" s="20">
        <v>9000000</v>
      </c>
      <c r="J16" s="20">
        <v>40</v>
      </c>
      <c r="K16" s="20">
        <v>0</v>
      </c>
      <c r="L16" s="20">
        <v>2353</v>
      </c>
      <c r="M16" s="20">
        <v>2353</v>
      </c>
      <c r="N16" s="20" t="b">
        <v>0</v>
      </c>
      <c r="O16" s="20"/>
      <c r="P16" s="20"/>
      <c r="Q16" s="20"/>
      <c r="R16" s="20"/>
      <c r="S16" s="20" t="b">
        <v>0</v>
      </c>
      <c r="T16" s="20"/>
      <c r="U16" s="20"/>
      <c r="V16" s="20" t="b">
        <v>0</v>
      </c>
      <c r="W16" s="20" t="b">
        <v>1</v>
      </c>
      <c r="X16" s="33">
        <v>45838</v>
      </c>
      <c r="Y16" s="33">
        <f t="shared" si="0"/>
        <v>48191</v>
      </c>
      <c r="Z16" s="13">
        <v>1</v>
      </c>
      <c r="AA16" s="13" t="b">
        <v>0</v>
      </c>
      <c r="AB16" s="13">
        <v>1</v>
      </c>
      <c r="AC16" s="13" t="b">
        <v>0</v>
      </c>
      <c r="AD16" s="13" t="b">
        <v>1</v>
      </c>
      <c r="AE16" s="13" t="b">
        <v>0</v>
      </c>
      <c r="AF16" s="13" t="b">
        <v>1</v>
      </c>
    </row>
    <row r="17" spans="1:32">
      <c r="A17" s="20" t="s">
        <v>63</v>
      </c>
      <c r="B17" s="20" t="s">
        <v>100</v>
      </c>
      <c r="C17" s="20" t="s">
        <v>59</v>
      </c>
      <c r="D17" s="20" t="s">
        <v>67</v>
      </c>
      <c r="E17" s="21" t="s">
        <v>61</v>
      </c>
      <c r="F17" s="21" t="s">
        <v>62</v>
      </c>
      <c r="G17" s="21" t="s">
        <v>62</v>
      </c>
      <c r="H17" s="20">
        <v>11107</v>
      </c>
      <c r="I17" s="20">
        <v>9000000</v>
      </c>
      <c r="J17" s="20">
        <v>40</v>
      </c>
      <c r="K17" s="20">
        <v>0</v>
      </c>
      <c r="L17" s="20">
        <v>2353</v>
      </c>
      <c r="M17" s="20">
        <v>2353</v>
      </c>
      <c r="N17" s="20" t="b">
        <v>0</v>
      </c>
      <c r="O17" s="20"/>
      <c r="P17" s="20"/>
      <c r="Q17" s="20"/>
      <c r="R17" s="20"/>
      <c r="S17" s="20" t="b">
        <v>0</v>
      </c>
      <c r="T17" s="20"/>
      <c r="U17" s="20"/>
      <c r="V17" s="20" t="b">
        <v>1</v>
      </c>
      <c r="W17" s="20" t="b">
        <v>0</v>
      </c>
      <c r="X17" s="33">
        <v>45838</v>
      </c>
      <c r="Y17" s="33">
        <f t="shared" si="0"/>
        <v>48191</v>
      </c>
      <c r="Z17" s="13">
        <v>1</v>
      </c>
      <c r="AA17" s="13" t="b">
        <v>0</v>
      </c>
      <c r="AB17" s="13">
        <v>1</v>
      </c>
      <c r="AC17" s="13" t="b">
        <v>0</v>
      </c>
      <c r="AD17" s="13" t="b">
        <v>1</v>
      </c>
      <c r="AE17" s="13" t="b">
        <v>0</v>
      </c>
      <c r="AF17" s="13" t="b">
        <v>1</v>
      </c>
    </row>
    <row r="18" spans="1:32">
      <c r="A18" s="22" t="s">
        <v>64</v>
      </c>
      <c r="B18" s="20" t="s">
        <v>100</v>
      </c>
      <c r="C18" s="22" t="s">
        <v>59</v>
      </c>
      <c r="D18" s="20" t="s">
        <v>67</v>
      </c>
      <c r="E18" s="21" t="s">
        <v>61</v>
      </c>
      <c r="F18" s="21" t="s">
        <v>62</v>
      </c>
      <c r="G18" s="21" t="s">
        <v>62</v>
      </c>
      <c r="H18" s="20">
        <v>11107</v>
      </c>
      <c r="I18" s="22">
        <v>9000000</v>
      </c>
      <c r="J18" s="22">
        <v>40</v>
      </c>
      <c r="K18" s="22">
        <v>0</v>
      </c>
      <c r="L18" s="22">
        <v>2353</v>
      </c>
      <c r="M18" s="22">
        <v>2353</v>
      </c>
      <c r="N18" s="22" t="b">
        <v>0</v>
      </c>
      <c r="O18" s="22"/>
      <c r="P18" s="22"/>
      <c r="Q18" s="22"/>
      <c r="R18" s="22"/>
      <c r="S18" s="22" t="b">
        <v>0</v>
      </c>
      <c r="T18" s="22"/>
      <c r="U18" s="22"/>
      <c r="V18" s="22" t="b">
        <v>0</v>
      </c>
      <c r="W18" s="22" t="b">
        <v>0</v>
      </c>
      <c r="X18" s="33">
        <v>45838</v>
      </c>
      <c r="Y18" s="33">
        <f t="shared" si="0"/>
        <v>48191</v>
      </c>
      <c r="Z18" s="13">
        <v>1</v>
      </c>
      <c r="AA18" s="13" t="b">
        <v>0</v>
      </c>
      <c r="AB18" s="13">
        <v>1</v>
      </c>
      <c r="AC18" s="13" t="b">
        <v>0</v>
      </c>
      <c r="AD18" s="13" t="b">
        <v>1</v>
      </c>
      <c r="AE18" s="13" t="b">
        <v>0</v>
      </c>
      <c r="AF18" s="13" t="b">
        <v>1</v>
      </c>
    </row>
    <row r="19" spans="1:32">
      <c r="A19" s="22" t="s">
        <v>65</v>
      </c>
      <c r="B19" s="20" t="s">
        <v>100</v>
      </c>
      <c r="C19" s="20" t="s">
        <v>59</v>
      </c>
      <c r="D19" s="20" t="s">
        <v>67</v>
      </c>
      <c r="E19" s="21" t="s">
        <v>61</v>
      </c>
      <c r="F19" s="21" t="s">
        <v>62</v>
      </c>
      <c r="G19" s="21" t="s">
        <v>62</v>
      </c>
      <c r="H19" s="20">
        <v>16660</v>
      </c>
      <c r="I19" s="20">
        <v>36000000</v>
      </c>
      <c r="J19" s="20">
        <v>40</v>
      </c>
      <c r="K19" s="20">
        <v>0</v>
      </c>
      <c r="L19" s="20">
        <v>961</v>
      </c>
      <c r="M19" s="20">
        <v>961</v>
      </c>
      <c r="N19" s="20" t="b">
        <v>0</v>
      </c>
      <c r="O19" s="20"/>
      <c r="P19" s="20"/>
      <c r="Q19" s="20"/>
      <c r="R19" s="20"/>
      <c r="S19" s="20" t="b">
        <v>0</v>
      </c>
      <c r="T19" s="20"/>
      <c r="U19" s="20"/>
      <c r="V19" s="22" t="b">
        <v>0</v>
      </c>
      <c r="W19" s="22" t="b">
        <v>0</v>
      </c>
      <c r="X19" s="33">
        <v>45838</v>
      </c>
      <c r="Y19" s="33">
        <f t="shared" si="0"/>
        <v>46799</v>
      </c>
      <c r="Z19" s="13">
        <v>1</v>
      </c>
      <c r="AA19" s="13" t="b">
        <v>0</v>
      </c>
      <c r="AB19" s="13">
        <v>1</v>
      </c>
      <c r="AC19" s="13" t="b">
        <v>0</v>
      </c>
      <c r="AD19" s="13" t="b">
        <v>1</v>
      </c>
      <c r="AE19" s="13" t="b">
        <v>0</v>
      </c>
      <c r="AF19" s="13" t="b">
        <v>1</v>
      </c>
    </row>
    <row r="20" spans="1:32">
      <c r="A20" s="22" t="s">
        <v>70</v>
      </c>
      <c r="B20" s="20" t="s">
        <v>100</v>
      </c>
      <c r="C20" s="20" t="s">
        <v>59</v>
      </c>
      <c r="D20" s="20" t="s">
        <v>67</v>
      </c>
      <c r="E20" s="21" t="s">
        <v>61</v>
      </c>
      <c r="F20" s="21" t="s">
        <v>62</v>
      </c>
      <c r="G20" s="21" t="s">
        <v>62</v>
      </c>
      <c r="H20" s="20">
        <v>5553</v>
      </c>
      <c r="I20" s="20">
        <v>4000000</v>
      </c>
      <c r="J20" s="20">
        <v>40</v>
      </c>
      <c r="K20" s="20">
        <v>0</v>
      </c>
      <c r="L20" s="32">
        <v>499</v>
      </c>
      <c r="M20" s="32">
        <v>499</v>
      </c>
      <c r="N20" s="20" t="b">
        <v>0</v>
      </c>
      <c r="O20" s="20"/>
      <c r="P20" s="20"/>
      <c r="Q20" s="20"/>
      <c r="R20" s="20"/>
      <c r="S20" s="20" t="b">
        <v>0</v>
      </c>
      <c r="T20" s="20"/>
      <c r="U20" s="20"/>
      <c r="V20" s="22" t="b">
        <v>0</v>
      </c>
      <c r="W20" s="22" t="b">
        <v>0</v>
      </c>
      <c r="X20" s="33">
        <v>45838</v>
      </c>
      <c r="Y20" s="33">
        <f t="shared" si="0"/>
        <v>46337</v>
      </c>
      <c r="Z20" s="13">
        <v>1</v>
      </c>
      <c r="AA20" s="13" t="b">
        <v>0</v>
      </c>
      <c r="AB20" s="13">
        <v>1</v>
      </c>
      <c r="AC20" s="13" t="b">
        <v>0</v>
      </c>
      <c r="AD20" s="13" t="b">
        <v>1</v>
      </c>
      <c r="AE20" s="13" t="b">
        <v>0</v>
      </c>
      <c r="AF20" s="13" t="b">
        <v>1</v>
      </c>
    </row>
    <row r="21" spans="1:32">
      <c r="A21" s="22" t="s">
        <v>75</v>
      </c>
      <c r="B21" s="20" t="s">
        <v>100</v>
      </c>
      <c r="C21" s="22" t="s">
        <v>101</v>
      </c>
      <c r="D21" s="22" t="s">
        <v>60</v>
      </c>
      <c r="E21" s="22" t="s">
        <v>68</v>
      </c>
      <c r="F21" s="22" t="s">
        <v>73</v>
      </c>
      <c r="G21" s="22" t="s">
        <v>62</v>
      </c>
      <c r="H21" s="22">
        <v>-25040</v>
      </c>
      <c r="I21" s="22">
        <v>5506800</v>
      </c>
      <c r="J21" s="22">
        <v>40</v>
      </c>
      <c r="K21" s="22">
        <v>0</v>
      </c>
      <c r="L21" s="22">
        <v>250</v>
      </c>
      <c r="M21" s="22">
        <v>250</v>
      </c>
      <c r="N21" s="22" t="b">
        <v>0</v>
      </c>
      <c r="O21" s="22"/>
      <c r="P21" s="22"/>
      <c r="Q21" s="22"/>
      <c r="R21" s="22"/>
      <c r="S21" s="22" t="b">
        <v>1</v>
      </c>
      <c r="T21" s="22">
        <v>0</v>
      </c>
      <c r="U21" s="22">
        <v>0.04</v>
      </c>
      <c r="V21" s="22" t="b">
        <v>0</v>
      </c>
      <c r="W21" s="22" t="b">
        <v>0</v>
      </c>
      <c r="X21" s="33">
        <v>45838</v>
      </c>
      <c r="Y21" s="33">
        <f t="shared" si="0"/>
        <v>46088</v>
      </c>
      <c r="Z21" s="13">
        <v>-9.6153846153846096</v>
      </c>
      <c r="AA21" s="13" t="b">
        <v>0</v>
      </c>
      <c r="AB21" s="13">
        <v>1</v>
      </c>
      <c r="AC21" s="13" t="b">
        <v>0</v>
      </c>
      <c r="AD21" s="13" t="b">
        <v>1</v>
      </c>
      <c r="AE21" s="13" t="b">
        <v>0</v>
      </c>
      <c r="AF21" s="13" t="b">
        <v>1</v>
      </c>
    </row>
    <row r="22" spans="1:32">
      <c r="A22" s="9" t="s">
        <v>57</v>
      </c>
      <c r="B22" s="9" t="s">
        <v>102</v>
      </c>
      <c r="C22" s="9" t="s">
        <v>81</v>
      </c>
      <c r="D22" s="9" t="s">
        <v>67</v>
      </c>
      <c r="E22" s="10" t="s">
        <v>82</v>
      </c>
      <c r="F22" s="10" t="s">
        <v>62</v>
      </c>
      <c r="G22" s="10" t="s">
        <v>62</v>
      </c>
      <c r="H22" s="31">
        <f>813000*1.03</f>
        <v>837390</v>
      </c>
      <c r="I22" s="1">
        <v>6883500</v>
      </c>
      <c r="J22" s="9"/>
      <c r="K22" s="18">
        <v>0</v>
      </c>
      <c r="L22" s="18">
        <v>250</v>
      </c>
      <c r="M22" s="9">
        <v>250</v>
      </c>
      <c r="N22" s="9" t="b">
        <v>1</v>
      </c>
      <c r="O22" s="9" t="s">
        <v>74</v>
      </c>
      <c r="P22" s="1">
        <v>4589</v>
      </c>
      <c r="Q22" s="1">
        <v>4589</v>
      </c>
      <c r="R22" s="1">
        <v>250</v>
      </c>
      <c r="S22" s="9" t="b">
        <v>0</v>
      </c>
      <c r="T22" s="9"/>
      <c r="U22" s="9"/>
      <c r="V22" s="9" t="b">
        <v>0</v>
      </c>
      <c r="W22" s="9" t="b">
        <v>0</v>
      </c>
      <c r="X22" s="33">
        <v>45838</v>
      </c>
      <c r="Y22" s="33">
        <f t="shared" si="0"/>
        <v>46088</v>
      </c>
      <c r="Z22" s="13">
        <v>0.64616976667272297</v>
      </c>
      <c r="AA22" s="13" t="b">
        <v>0</v>
      </c>
      <c r="AB22" s="13">
        <v>1</v>
      </c>
      <c r="AC22" s="13" t="b">
        <v>0</v>
      </c>
      <c r="AD22" s="13" t="b">
        <v>0</v>
      </c>
      <c r="AE22" s="13" t="b">
        <v>0</v>
      </c>
      <c r="AF22" s="13" t="b">
        <v>0</v>
      </c>
    </row>
    <row r="23" spans="1:32">
      <c r="A23" s="9" t="s">
        <v>63</v>
      </c>
      <c r="B23" s="9" t="s">
        <v>102</v>
      </c>
      <c r="C23" s="9" t="s">
        <v>84</v>
      </c>
      <c r="D23" s="9" t="s">
        <v>67</v>
      </c>
      <c r="E23" s="10" t="s">
        <v>82</v>
      </c>
      <c r="F23" s="10" t="s">
        <v>62</v>
      </c>
      <c r="G23" s="10" t="s">
        <v>62</v>
      </c>
      <c r="H23" s="31">
        <f>-459120*1.02</f>
        <v>-468302.4</v>
      </c>
      <c r="I23" s="1">
        <v>5139168</v>
      </c>
      <c r="J23" s="9"/>
      <c r="K23" s="18">
        <v>0</v>
      </c>
      <c r="L23" s="18">
        <v>250</v>
      </c>
      <c r="M23" s="9">
        <v>250</v>
      </c>
      <c r="N23" s="9" t="b">
        <v>1</v>
      </c>
      <c r="O23" s="9" t="s">
        <v>74</v>
      </c>
      <c r="P23" s="1">
        <v>4282.6400000000003</v>
      </c>
      <c r="Q23" s="1">
        <v>4282.6400000000003</v>
      </c>
      <c r="R23" s="1">
        <v>250</v>
      </c>
      <c r="S23" s="9" t="b">
        <v>0</v>
      </c>
      <c r="T23" s="9"/>
      <c r="U23" s="9"/>
      <c r="V23" s="9" t="b">
        <v>0</v>
      </c>
      <c r="W23" s="9" t="b">
        <v>0</v>
      </c>
      <c r="X23" s="33">
        <v>45838</v>
      </c>
      <c r="Y23" s="33">
        <f t="shared" si="0"/>
        <v>46088</v>
      </c>
      <c r="Z23" s="13">
        <v>0.64616976667272297</v>
      </c>
      <c r="AA23" s="13" t="b">
        <v>0</v>
      </c>
      <c r="AB23" s="13">
        <v>1</v>
      </c>
      <c r="AC23" s="13" t="b">
        <v>0</v>
      </c>
      <c r="AD23" s="13" t="b">
        <v>0</v>
      </c>
      <c r="AE23" s="13" t="b">
        <v>0</v>
      </c>
      <c r="AF23" s="13" t="b">
        <v>0</v>
      </c>
    </row>
    <row r="24" spans="1:32">
      <c r="A24" s="9" t="s">
        <v>64</v>
      </c>
      <c r="B24" s="9" t="s">
        <v>102</v>
      </c>
      <c r="C24" s="9" t="s">
        <v>76</v>
      </c>
      <c r="D24" s="9" t="s">
        <v>60</v>
      </c>
      <c r="E24" s="10" t="s">
        <v>77</v>
      </c>
      <c r="F24" s="10" t="s">
        <v>62</v>
      </c>
      <c r="G24" s="10" t="s">
        <v>62</v>
      </c>
      <c r="H24" s="9">
        <v>-8291</v>
      </c>
      <c r="I24" s="9">
        <v>131766.9</v>
      </c>
      <c r="J24" s="9"/>
      <c r="K24" s="12">
        <v>0</v>
      </c>
      <c r="L24" s="12">
        <v>158</v>
      </c>
      <c r="M24" s="9">
        <v>158</v>
      </c>
      <c r="N24" s="9" t="b">
        <v>0</v>
      </c>
      <c r="O24" s="9"/>
      <c r="P24" s="9"/>
      <c r="Q24" s="9"/>
      <c r="R24" s="9"/>
      <c r="S24" s="9" t="b">
        <v>0</v>
      </c>
      <c r="T24" s="9"/>
      <c r="U24" s="9"/>
      <c r="V24" s="9" t="b">
        <v>0</v>
      </c>
      <c r="W24" s="9" t="b">
        <v>0</v>
      </c>
      <c r="X24" s="33">
        <v>45838</v>
      </c>
      <c r="Y24" s="33">
        <f t="shared" si="0"/>
        <v>45996</v>
      </c>
      <c r="Z24" s="13">
        <v>-1</v>
      </c>
      <c r="AA24" s="13" t="b">
        <v>0</v>
      </c>
      <c r="AB24" s="13">
        <v>1</v>
      </c>
      <c r="AC24" s="13" t="b">
        <v>0</v>
      </c>
      <c r="AD24" s="13" t="b">
        <v>0</v>
      </c>
      <c r="AE24" s="13" t="b">
        <v>0</v>
      </c>
      <c r="AF24" s="13" t="b">
        <v>0</v>
      </c>
    </row>
    <row r="25" spans="1:32">
      <c r="A25" s="9" t="s">
        <v>65</v>
      </c>
      <c r="B25" s="9" t="s">
        <v>102</v>
      </c>
      <c r="C25" s="9" t="s">
        <v>79</v>
      </c>
      <c r="D25" s="9" t="s">
        <v>60</v>
      </c>
      <c r="E25" s="10" t="s">
        <v>77</v>
      </c>
      <c r="F25" s="10" t="s">
        <v>62</v>
      </c>
      <c r="G25" s="10" t="s">
        <v>62</v>
      </c>
      <c r="H25" s="9">
        <v>-5300</v>
      </c>
      <c r="I25" s="9">
        <v>27663.040000000001</v>
      </c>
      <c r="J25" s="9"/>
      <c r="K25" s="12">
        <v>0</v>
      </c>
      <c r="L25" s="12">
        <v>220</v>
      </c>
      <c r="M25" s="9">
        <v>220</v>
      </c>
      <c r="N25" s="9" t="b">
        <v>0</v>
      </c>
      <c r="O25" s="9"/>
      <c r="P25" s="9"/>
      <c r="Q25" s="9"/>
      <c r="R25" s="9"/>
      <c r="S25" s="9" t="b">
        <v>0</v>
      </c>
      <c r="T25" s="9"/>
      <c r="U25" s="9"/>
      <c r="V25" s="9" t="b">
        <v>0</v>
      </c>
      <c r="W25" s="9" t="b">
        <v>0</v>
      </c>
      <c r="X25" s="33">
        <v>45838</v>
      </c>
      <c r="Y25" s="33">
        <f t="shared" si="0"/>
        <v>46058</v>
      </c>
      <c r="Z25" s="13">
        <v>-1</v>
      </c>
      <c r="AA25" s="13" t="b">
        <v>0</v>
      </c>
      <c r="AB25" s="13">
        <v>1</v>
      </c>
      <c r="AC25" s="13" t="b">
        <v>0</v>
      </c>
      <c r="AD25" s="13" t="b">
        <v>0</v>
      </c>
      <c r="AE25" s="13" t="b">
        <v>0</v>
      </c>
      <c r="AF25" s="13" t="b">
        <v>0</v>
      </c>
    </row>
    <row r="26" spans="1:32">
      <c r="A26" s="20" t="s">
        <v>57</v>
      </c>
      <c r="B26" s="20" t="s">
        <v>103</v>
      </c>
      <c r="C26" s="20" t="s">
        <v>81</v>
      </c>
      <c r="D26" s="20" t="s">
        <v>67</v>
      </c>
      <c r="E26" s="21" t="s">
        <v>82</v>
      </c>
      <c r="F26" s="21" t="s">
        <v>62</v>
      </c>
      <c r="G26" s="21" t="s">
        <v>62</v>
      </c>
      <c r="H26" s="23">
        <v>813000</v>
      </c>
      <c r="I26" s="7">
        <v>6883500</v>
      </c>
      <c r="J26" s="20">
        <v>10</v>
      </c>
      <c r="K26" s="24">
        <v>0</v>
      </c>
      <c r="L26" s="24">
        <v>250</v>
      </c>
      <c r="M26" s="20">
        <v>250</v>
      </c>
      <c r="N26" s="20" t="b">
        <v>1</v>
      </c>
      <c r="O26" s="20" t="s">
        <v>74</v>
      </c>
      <c r="P26" s="7">
        <v>4589</v>
      </c>
      <c r="Q26" s="7">
        <v>4589</v>
      </c>
      <c r="R26" s="7">
        <v>250</v>
      </c>
      <c r="S26" s="20" t="b">
        <v>0</v>
      </c>
      <c r="T26" s="20"/>
      <c r="U26" s="20"/>
      <c r="V26" s="20" t="b">
        <v>0</v>
      </c>
      <c r="W26" s="20" t="b">
        <v>0</v>
      </c>
      <c r="X26" s="33">
        <v>45838</v>
      </c>
      <c r="Y26" s="33">
        <f t="shared" si="0"/>
        <v>46088</v>
      </c>
      <c r="Z26" s="13">
        <v>0.64616976667272297</v>
      </c>
      <c r="AA26" s="13" t="b">
        <v>0</v>
      </c>
      <c r="AB26" s="13">
        <v>1</v>
      </c>
      <c r="AC26" s="13" t="b">
        <v>0</v>
      </c>
      <c r="AD26" s="13" t="b">
        <v>0</v>
      </c>
      <c r="AE26" s="13" t="b">
        <v>0</v>
      </c>
      <c r="AF26" s="13" t="b">
        <v>0</v>
      </c>
    </row>
    <row r="27" spans="1:32">
      <c r="A27" s="20" t="s">
        <v>63</v>
      </c>
      <c r="B27" s="20" t="s">
        <v>103</v>
      </c>
      <c r="C27" s="20" t="s">
        <v>84</v>
      </c>
      <c r="D27" s="20" t="s">
        <v>67</v>
      </c>
      <c r="E27" s="21" t="s">
        <v>82</v>
      </c>
      <c r="F27" s="21" t="s">
        <v>62</v>
      </c>
      <c r="G27" s="23" t="s">
        <v>62</v>
      </c>
      <c r="H27" s="23">
        <v>-459120</v>
      </c>
      <c r="I27" s="7">
        <v>5139168</v>
      </c>
      <c r="J27" s="20">
        <v>10</v>
      </c>
      <c r="K27" s="24">
        <v>0</v>
      </c>
      <c r="L27" s="24">
        <v>250</v>
      </c>
      <c r="M27" s="20">
        <v>250</v>
      </c>
      <c r="N27" s="20" t="b">
        <v>1</v>
      </c>
      <c r="O27" s="20" t="s">
        <v>74</v>
      </c>
      <c r="P27" s="7">
        <v>4282.6400000000003</v>
      </c>
      <c r="Q27" s="7">
        <v>4282.6400000000003</v>
      </c>
      <c r="R27" s="7">
        <v>250</v>
      </c>
      <c r="S27" s="20" t="b">
        <v>0</v>
      </c>
      <c r="T27" s="20"/>
      <c r="U27" s="20"/>
      <c r="V27" s="20" t="b">
        <v>0</v>
      </c>
      <c r="W27" s="20" t="b">
        <v>0</v>
      </c>
      <c r="X27" s="33">
        <v>45838</v>
      </c>
      <c r="Y27" s="33">
        <f t="shared" si="0"/>
        <v>46088</v>
      </c>
      <c r="Z27" s="13">
        <v>0.64616976667272297</v>
      </c>
      <c r="AA27" s="13" t="b">
        <v>0</v>
      </c>
      <c r="AB27" s="13">
        <v>1</v>
      </c>
      <c r="AC27" s="13" t="b">
        <v>0</v>
      </c>
      <c r="AD27" s="13" t="b">
        <v>0</v>
      </c>
      <c r="AE27" s="13" t="b">
        <v>0</v>
      </c>
      <c r="AF27" s="13" t="b">
        <v>0</v>
      </c>
    </row>
    <row r="28" spans="1:32">
      <c r="A28" s="20" t="s">
        <v>64</v>
      </c>
      <c r="B28" s="20" t="s">
        <v>103</v>
      </c>
      <c r="C28" s="20" t="s">
        <v>76</v>
      </c>
      <c r="D28" s="20" t="s">
        <v>60</v>
      </c>
      <c r="E28" s="21" t="s">
        <v>77</v>
      </c>
      <c r="F28" s="21" t="s">
        <v>62</v>
      </c>
      <c r="G28" s="21" t="s">
        <v>62</v>
      </c>
      <c r="H28" s="20">
        <v>-8291</v>
      </c>
      <c r="I28" s="20">
        <v>131766.9</v>
      </c>
      <c r="J28" s="20">
        <v>10</v>
      </c>
      <c r="K28" s="25">
        <v>0</v>
      </c>
      <c r="L28" s="25">
        <v>158</v>
      </c>
      <c r="M28" s="20">
        <v>158</v>
      </c>
      <c r="N28" s="20" t="b">
        <v>0</v>
      </c>
      <c r="O28" s="20"/>
      <c r="P28" s="20"/>
      <c r="Q28" s="20"/>
      <c r="R28" s="20"/>
      <c r="S28" s="20" t="b">
        <v>0</v>
      </c>
      <c r="T28" s="20"/>
      <c r="U28" s="20"/>
      <c r="V28" s="20" t="b">
        <v>0</v>
      </c>
      <c r="W28" s="20" t="b">
        <v>0</v>
      </c>
      <c r="X28" s="33">
        <v>45838</v>
      </c>
      <c r="Y28" s="33">
        <f t="shared" si="0"/>
        <v>45996</v>
      </c>
      <c r="Z28" s="13">
        <v>-1</v>
      </c>
      <c r="AA28" s="13" t="b">
        <v>0</v>
      </c>
      <c r="AB28" s="13">
        <v>1</v>
      </c>
      <c r="AC28" s="13" t="b">
        <v>0</v>
      </c>
      <c r="AD28" s="13" t="b">
        <v>0</v>
      </c>
      <c r="AE28" s="13" t="b">
        <v>0</v>
      </c>
      <c r="AF28" s="13" t="b">
        <v>0</v>
      </c>
    </row>
    <row r="29" spans="1:32">
      <c r="A29" s="20" t="s">
        <v>65</v>
      </c>
      <c r="B29" s="20" t="s">
        <v>103</v>
      </c>
      <c r="C29" s="20" t="s">
        <v>79</v>
      </c>
      <c r="D29" s="20" t="s">
        <v>60</v>
      </c>
      <c r="E29" s="21" t="s">
        <v>77</v>
      </c>
      <c r="F29" s="21" t="s">
        <v>62</v>
      </c>
      <c r="G29" s="21" t="s">
        <v>62</v>
      </c>
      <c r="H29" s="20">
        <v>-5300</v>
      </c>
      <c r="I29" s="20">
        <v>27663.040000000001</v>
      </c>
      <c r="J29" s="20">
        <v>10</v>
      </c>
      <c r="K29" s="25">
        <v>0</v>
      </c>
      <c r="L29" s="25">
        <v>220</v>
      </c>
      <c r="M29" s="20">
        <v>220</v>
      </c>
      <c r="N29" s="20" t="b">
        <v>0</v>
      </c>
      <c r="O29" s="20"/>
      <c r="P29" s="20"/>
      <c r="Q29" s="20"/>
      <c r="R29" s="20"/>
      <c r="S29" s="20" t="b">
        <v>0</v>
      </c>
      <c r="T29" s="20"/>
      <c r="U29" s="20"/>
      <c r="V29" s="20" t="b">
        <v>0</v>
      </c>
      <c r="W29" s="20" t="b">
        <v>0</v>
      </c>
      <c r="X29" s="33">
        <v>45838</v>
      </c>
      <c r="Y29" s="33">
        <f t="shared" si="0"/>
        <v>46058</v>
      </c>
      <c r="Z29" s="13">
        <v>-1</v>
      </c>
      <c r="AA29" s="13" t="b">
        <v>0</v>
      </c>
      <c r="AB29" s="13">
        <v>1</v>
      </c>
      <c r="AC29" s="13" t="b">
        <v>0</v>
      </c>
      <c r="AD29" s="13" t="b">
        <v>0</v>
      </c>
      <c r="AE29" s="13" t="b">
        <v>0</v>
      </c>
      <c r="AF29" s="13" t="b">
        <v>0</v>
      </c>
    </row>
    <row r="30" spans="1:32">
      <c r="A30" s="9" t="s">
        <v>57</v>
      </c>
      <c r="B30" s="9" t="s">
        <v>122</v>
      </c>
      <c r="C30" s="9" t="s">
        <v>118</v>
      </c>
      <c r="D30" s="9" t="s">
        <v>67</v>
      </c>
      <c r="E30" s="9" t="s">
        <v>61</v>
      </c>
      <c r="F30" s="9" t="s">
        <v>62</v>
      </c>
      <c r="G30" s="9" t="s">
        <v>62</v>
      </c>
      <c r="H30" s="9">
        <v>11107</v>
      </c>
      <c r="I30" s="9">
        <v>9000000</v>
      </c>
      <c r="J30" s="9">
        <v>40</v>
      </c>
      <c r="K30" s="9">
        <v>0</v>
      </c>
      <c r="L30" s="9">
        <v>2353</v>
      </c>
      <c r="M30" s="9">
        <v>2353</v>
      </c>
      <c r="N30" s="9" t="b">
        <v>0</v>
      </c>
      <c r="O30" s="9"/>
      <c r="P30" s="9"/>
      <c r="Q30" s="9"/>
      <c r="R30" s="9"/>
      <c r="S30" s="9" t="b">
        <v>0</v>
      </c>
      <c r="T30" s="9"/>
      <c r="U30" s="9"/>
      <c r="V30" s="9" t="b">
        <v>0</v>
      </c>
      <c r="W30" s="9" t="b">
        <v>1</v>
      </c>
      <c r="X30" s="33">
        <v>45838</v>
      </c>
      <c r="Y30" s="34">
        <v>45838</v>
      </c>
      <c r="Z30" s="13">
        <v>1</v>
      </c>
      <c r="AA30" s="13" t="b">
        <v>0</v>
      </c>
      <c r="AB30" s="13">
        <v>1</v>
      </c>
      <c r="AC30" s="13" t="b">
        <v>0</v>
      </c>
      <c r="AD30" s="13" t="b">
        <v>0</v>
      </c>
      <c r="AE30" s="13" t="b">
        <v>1</v>
      </c>
      <c r="AF30" s="13" t="b">
        <v>1</v>
      </c>
    </row>
    <row r="31" spans="1:32">
      <c r="A31" s="9" t="s">
        <v>63</v>
      </c>
      <c r="B31" s="9" t="s">
        <v>122</v>
      </c>
      <c r="C31" s="9" t="s">
        <v>59</v>
      </c>
      <c r="D31" s="9" t="s">
        <v>67</v>
      </c>
      <c r="E31" s="9" t="s">
        <v>61</v>
      </c>
      <c r="F31" s="9" t="s">
        <v>62</v>
      </c>
      <c r="G31" s="9" t="s">
        <v>62</v>
      </c>
      <c r="H31" s="9">
        <v>11107</v>
      </c>
      <c r="I31" s="9">
        <v>9000000</v>
      </c>
      <c r="J31" s="9">
        <v>40</v>
      </c>
      <c r="K31" s="9">
        <v>0</v>
      </c>
      <c r="L31" s="9">
        <v>2353</v>
      </c>
      <c r="M31" s="9">
        <v>2353</v>
      </c>
      <c r="N31" s="9" t="b">
        <v>0</v>
      </c>
      <c r="O31" s="9"/>
      <c r="P31" s="9"/>
      <c r="Q31" s="9"/>
      <c r="R31" s="9"/>
      <c r="S31" s="9" t="b">
        <v>0</v>
      </c>
      <c r="T31" s="9"/>
      <c r="U31" s="9"/>
      <c r="V31" s="9" t="b">
        <v>1</v>
      </c>
      <c r="W31" s="9" t="b">
        <v>0</v>
      </c>
      <c r="X31" s="33">
        <v>45838</v>
      </c>
      <c r="Y31" s="33">
        <f t="shared" ref="Y31:Y36" si="1">X31+L31</f>
        <v>48191</v>
      </c>
      <c r="Z31" s="13">
        <v>1</v>
      </c>
      <c r="AA31" s="13" t="b">
        <v>0</v>
      </c>
      <c r="AB31" s="13">
        <v>1</v>
      </c>
      <c r="AC31" s="13" t="b">
        <v>0</v>
      </c>
      <c r="AD31" s="13" t="b">
        <v>0</v>
      </c>
      <c r="AE31" s="13" t="b">
        <v>1</v>
      </c>
      <c r="AF31" s="13" t="b">
        <v>1</v>
      </c>
    </row>
    <row r="32" spans="1:32">
      <c r="A32" s="9" t="s">
        <v>64</v>
      </c>
      <c r="B32" s="9" t="s">
        <v>122</v>
      </c>
      <c r="C32" s="9" t="s">
        <v>59</v>
      </c>
      <c r="D32" s="9" t="s">
        <v>67</v>
      </c>
      <c r="E32" s="9" t="s">
        <v>61</v>
      </c>
      <c r="F32" s="9" t="s">
        <v>62</v>
      </c>
      <c r="G32" s="9" t="s">
        <v>62</v>
      </c>
      <c r="H32" s="9">
        <v>11107</v>
      </c>
      <c r="I32" s="9">
        <v>9000000</v>
      </c>
      <c r="J32" s="9">
        <v>40</v>
      </c>
      <c r="K32" s="9">
        <v>0</v>
      </c>
      <c r="L32" s="9">
        <v>2353</v>
      </c>
      <c r="M32" s="9">
        <v>2353</v>
      </c>
      <c r="N32" s="9" t="b">
        <v>0</v>
      </c>
      <c r="O32" s="9"/>
      <c r="P32" s="9"/>
      <c r="Q32" s="9"/>
      <c r="R32" s="9"/>
      <c r="S32" s="9" t="b">
        <v>0</v>
      </c>
      <c r="T32" s="9"/>
      <c r="U32" s="9"/>
      <c r="V32" s="9" t="b">
        <v>0</v>
      </c>
      <c r="W32" s="9" t="b">
        <v>0</v>
      </c>
      <c r="X32" s="33">
        <v>45838</v>
      </c>
      <c r="Y32" s="33">
        <f t="shared" si="1"/>
        <v>48191</v>
      </c>
      <c r="Z32" s="13">
        <v>1</v>
      </c>
      <c r="AA32" s="13" t="b">
        <v>0</v>
      </c>
      <c r="AB32" s="13">
        <v>1</v>
      </c>
      <c r="AC32" s="13" t="b">
        <v>0</v>
      </c>
      <c r="AD32" s="13" t="b">
        <v>0</v>
      </c>
      <c r="AE32" s="13" t="b">
        <v>1</v>
      </c>
      <c r="AF32" s="13" t="b">
        <v>1</v>
      </c>
    </row>
    <row r="33" spans="1:32">
      <c r="A33" s="9" t="s">
        <v>65</v>
      </c>
      <c r="B33" s="9" t="s">
        <v>122</v>
      </c>
      <c r="C33" s="9" t="s">
        <v>59</v>
      </c>
      <c r="D33" s="9" t="s">
        <v>67</v>
      </c>
      <c r="E33" s="9" t="s">
        <v>61</v>
      </c>
      <c r="F33" s="9" t="s">
        <v>62</v>
      </c>
      <c r="G33" s="9" t="s">
        <v>62</v>
      </c>
      <c r="H33" s="9">
        <v>16660</v>
      </c>
      <c r="I33" s="9">
        <v>36000000</v>
      </c>
      <c r="J33" s="9">
        <v>40</v>
      </c>
      <c r="K33" s="9">
        <v>0</v>
      </c>
      <c r="L33" s="9">
        <v>961</v>
      </c>
      <c r="M33" s="9">
        <v>961</v>
      </c>
      <c r="N33" s="9" t="b">
        <v>0</v>
      </c>
      <c r="O33" s="9"/>
      <c r="P33" s="9"/>
      <c r="Q33" s="9"/>
      <c r="R33" s="9"/>
      <c r="S33" s="9" t="b">
        <v>0</v>
      </c>
      <c r="T33" s="9"/>
      <c r="U33" s="9"/>
      <c r="V33" s="9" t="b">
        <v>0</v>
      </c>
      <c r="W33" s="9" t="b">
        <v>0</v>
      </c>
      <c r="X33" s="33">
        <v>45838</v>
      </c>
      <c r="Y33" s="33">
        <f t="shared" si="1"/>
        <v>46799</v>
      </c>
      <c r="Z33" s="13">
        <v>1</v>
      </c>
      <c r="AA33" s="13" t="b">
        <v>0</v>
      </c>
      <c r="AB33" s="13">
        <v>1</v>
      </c>
      <c r="AC33" s="13" t="b">
        <v>0</v>
      </c>
      <c r="AD33" s="13" t="b">
        <v>0</v>
      </c>
      <c r="AE33" s="13" t="b">
        <v>1</v>
      </c>
      <c r="AF33" s="13" t="b">
        <v>1</v>
      </c>
    </row>
    <row r="34" spans="1:32">
      <c r="A34" s="9" t="s">
        <v>70</v>
      </c>
      <c r="B34" s="9" t="s">
        <v>122</v>
      </c>
      <c r="C34" s="9" t="s">
        <v>59</v>
      </c>
      <c r="D34" s="9" t="s">
        <v>67</v>
      </c>
      <c r="E34" s="9" t="s">
        <v>61</v>
      </c>
      <c r="F34" s="9" t="s">
        <v>62</v>
      </c>
      <c r="G34" s="9" t="s">
        <v>62</v>
      </c>
      <c r="H34" s="9">
        <v>5553</v>
      </c>
      <c r="I34" s="9">
        <v>4000000</v>
      </c>
      <c r="J34" s="9">
        <v>40</v>
      </c>
      <c r="K34" s="9">
        <v>0</v>
      </c>
      <c r="L34" s="9">
        <v>199</v>
      </c>
      <c r="M34" s="9">
        <v>199</v>
      </c>
      <c r="N34" s="9" t="b">
        <v>0</v>
      </c>
      <c r="O34" s="9"/>
      <c r="P34" s="9"/>
      <c r="Q34" s="9"/>
      <c r="R34" s="9"/>
      <c r="S34" s="9" t="b">
        <v>0</v>
      </c>
      <c r="T34" s="9"/>
      <c r="U34" s="9"/>
      <c r="V34" s="9" t="b">
        <v>0</v>
      </c>
      <c r="W34" s="9" t="b">
        <v>0</v>
      </c>
      <c r="X34" s="33">
        <v>45838</v>
      </c>
      <c r="Y34" s="33">
        <f t="shared" si="1"/>
        <v>46037</v>
      </c>
      <c r="Z34" s="13">
        <v>1</v>
      </c>
      <c r="AA34" s="13" t="b">
        <v>0</v>
      </c>
      <c r="AB34" s="13">
        <v>1</v>
      </c>
      <c r="AC34" s="13" t="b">
        <v>0</v>
      </c>
      <c r="AD34" s="13" t="b">
        <v>0</v>
      </c>
      <c r="AE34" s="13" t="b">
        <v>1</v>
      </c>
      <c r="AF34" s="13" t="b">
        <v>1</v>
      </c>
    </row>
    <row r="35" spans="1:32">
      <c r="A35" s="9" t="s">
        <v>75</v>
      </c>
      <c r="B35" s="9" t="s">
        <v>122</v>
      </c>
      <c r="C35" s="9" t="s">
        <v>101</v>
      </c>
      <c r="D35" s="9" t="s">
        <v>60</v>
      </c>
      <c r="E35" s="9" t="s">
        <v>68</v>
      </c>
      <c r="F35" s="9" t="s">
        <v>73</v>
      </c>
      <c r="G35" s="9" t="s">
        <v>62</v>
      </c>
      <c r="H35" s="9">
        <v>-25040</v>
      </c>
      <c r="I35" s="9">
        <v>5506800</v>
      </c>
      <c r="J35" s="9">
        <v>40</v>
      </c>
      <c r="K35" s="9">
        <v>0</v>
      </c>
      <c r="L35" s="9">
        <v>250</v>
      </c>
      <c r="M35" s="9">
        <v>250</v>
      </c>
      <c r="N35" s="9" t="b">
        <v>0</v>
      </c>
      <c r="O35" s="9"/>
      <c r="P35" s="9"/>
      <c r="Q35" s="9"/>
      <c r="R35" s="9"/>
      <c r="S35" s="9" t="b">
        <v>1</v>
      </c>
      <c r="T35" s="9">
        <v>0</v>
      </c>
      <c r="U35" s="9">
        <v>0.04</v>
      </c>
      <c r="V35" s="9" t="b">
        <v>0</v>
      </c>
      <c r="W35" s="9" t="b">
        <v>0</v>
      </c>
      <c r="X35" s="33">
        <v>45838</v>
      </c>
      <c r="Y35" s="33">
        <f t="shared" si="1"/>
        <v>46088</v>
      </c>
      <c r="Z35" s="13">
        <v>-9.6153846153846096</v>
      </c>
      <c r="AA35" s="13" t="b">
        <v>0</v>
      </c>
      <c r="AB35" s="13">
        <v>1</v>
      </c>
      <c r="AC35" s="13" t="b">
        <v>0</v>
      </c>
      <c r="AD35" s="13" t="b">
        <v>0</v>
      </c>
      <c r="AE35" s="13" t="b">
        <v>1</v>
      </c>
      <c r="AF35" s="13" t="b">
        <v>1</v>
      </c>
    </row>
    <row r="36" spans="1:32">
      <c r="A36" s="35" t="s">
        <v>57</v>
      </c>
      <c r="B36" s="35" t="s">
        <v>123</v>
      </c>
      <c r="C36" s="35" t="s">
        <v>84</v>
      </c>
      <c r="D36" s="35" t="s">
        <v>60</v>
      </c>
      <c r="E36" s="35" t="s">
        <v>82</v>
      </c>
      <c r="F36" s="35" t="s">
        <v>62</v>
      </c>
      <c r="G36" s="35" t="s">
        <v>62</v>
      </c>
      <c r="H36" s="35">
        <v>-459120</v>
      </c>
      <c r="I36" s="35">
        <v>5139168</v>
      </c>
      <c r="J36" s="35">
        <v>10</v>
      </c>
      <c r="K36" s="35">
        <v>0</v>
      </c>
      <c r="L36" s="35">
        <v>250</v>
      </c>
      <c r="M36" s="35">
        <v>250</v>
      </c>
      <c r="N36" s="35" t="b">
        <v>1</v>
      </c>
      <c r="O36" s="35" t="s">
        <v>74</v>
      </c>
      <c r="P36" s="35">
        <v>4282.6400000000003</v>
      </c>
      <c r="Q36" s="35">
        <v>4282.6400000000003</v>
      </c>
      <c r="R36" s="35">
        <v>250</v>
      </c>
      <c r="S36" s="35" t="b">
        <v>0</v>
      </c>
      <c r="T36" s="35"/>
      <c r="U36" s="35"/>
      <c r="V36" s="35" t="b">
        <v>0</v>
      </c>
      <c r="W36" s="35" t="b">
        <v>0</v>
      </c>
      <c r="X36" s="33">
        <v>45838</v>
      </c>
      <c r="Y36" s="33">
        <f t="shared" si="1"/>
        <v>46088</v>
      </c>
      <c r="Z36" s="36">
        <v>-3</v>
      </c>
      <c r="AA36" s="13" t="b">
        <v>0</v>
      </c>
      <c r="AB36" s="13">
        <v>1</v>
      </c>
      <c r="AC36" s="13" t="b">
        <v>0</v>
      </c>
      <c r="AD36" s="13" t="b">
        <v>0</v>
      </c>
      <c r="AE36" s="13" t="b">
        <v>0</v>
      </c>
      <c r="AF36" s="13" t="b">
        <v>0</v>
      </c>
    </row>
    <row r="37" spans="1:32">
      <c r="A37" s="9" t="s">
        <v>57</v>
      </c>
      <c r="B37" s="9" t="s">
        <v>136</v>
      </c>
      <c r="C37" s="9" t="s">
        <v>118</v>
      </c>
      <c r="D37" s="9" t="s">
        <v>67</v>
      </c>
      <c r="E37" s="9" t="s">
        <v>61</v>
      </c>
      <c r="F37" s="9" t="s">
        <v>62</v>
      </c>
      <c r="G37" s="9" t="s">
        <v>62</v>
      </c>
      <c r="H37" s="9">
        <v>11107</v>
      </c>
      <c r="I37" s="9">
        <v>9000000</v>
      </c>
      <c r="J37" s="9">
        <v>40</v>
      </c>
      <c r="K37" s="9">
        <v>0</v>
      </c>
      <c r="L37" s="9">
        <v>2353</v>
      </c>
      <c r="M37" s="9">
        <v>2353</v>
      </c>
      <c r="N37" s="9" t="b">
        <v>0</v>
      </c>
      <c r="O37" s="9"/>
      <c r="P37" s="9"/>
      <c r="Q37" s="9"/>
      <c r="R37" s="9"/>
      <c r="S37" s="9" t="b">
        <v>0</v>
      </c>
      <c r="T37" s="9"/>
      <c r="U37" s="9"/>
      <c r="V37" s="9" t="b">
        <v>0</v>
      </c>
      <c r="W37" s="9" t="b">
        <v>1</v>
      </c>
      <c r="X37" s="33">
        <v>45838</v>
      </c>
      <c r="Y37" s="34">
        <v>45838</v>
      </c>
      <c r="Z37" s="13">
        <v>1</v>
      </c>
      <c r="AA37" s="13" t="b">
        <v>0</v>
      </c>
      <c r="AB37" s="13">
        <v>1</v>
      </c>
      <c r="AC37" s="13" t="b">
        <v>0</v>
      </c>
      <c r="AD37" s="13" t="b">
        <v>0</v>
      </c>
      <c r="AE37" s="13" t="b">
        <v>1</v>
      </c>
      <c r="AF37" s="38" t="b">
        <v>0</v>
      </c>
    </row>
    <row r="38" spans="1:32">
      <c r="A38" s="9" t="s">
        <v>63</v>
      </c>
      <c r="B38" s="9" t="s">
        <v>136</v>
      </c>
      <c r="C38" s="9" t="s">
        <v>59</v>
      </c>
      <c r="D38" s="9" t="s">
        <v>67</v>
      </c>
      <c r="E38" s="9" t="s">
        <v>61</v>
      </c>
      <c r="F38" s="9" t="s">
        <v>62</v>
      </c>
      <c r="G38" s="9" t="s">
        <v>62</v>
      </c>
      <c r="H38" s="9">
        <v>11107</v>
      </c>
      <c r="I38" s="9">
        <v>9000000</v>
      </c>
      <c r="J38" s="9">
        <v>40</v>
      </c>
      <c r="K38" s="9">
        <v>0</v>
      </c>
      <c r="L38" s="9">
        <v>2353</v>
      </c>
      <c r="M38" s="9">
        <v>2353</v>
      </c>
      <c r="N38" s="9" t="b">
        <v>0</v>
      </c>
      <c r="O38" s="9"/>
      <c r="P38" s="9"/>
      <c r="Q38" s="9"/>
      <c r="R38" s="9"/>
      <c r="S38" s="9" t="b">
        <v>0</v>
      </c>
      <c r="T38" s="9"/>
      <c r="U38" s="9"/>
      <c r="V38" s="9" t="b">
        <v>1</v>
      </c>
      <c r="W38" s="9" t="b">
        <v>0</v>
      </c>
      <c r="X38" s="33">
        <v>45838</v>
      </c>
      <c r="Y38" s="33">
        <f t="shared" ref="Y38:Y42" si="2">X38+L38</f>
        <v>48191</v>
      </c>
      <c r="Z38" s="13">
        <v>1</v>
      </c>
      <c r="AA38" s="13" t="b">
        <v>0</v>
      </c>
      <c r="AB38" s="13">
        <v>1</v>
      </c>
      <c r="AC38" s="13" t="b">
        <v>0</v>
      </c>
      <c r="AD38" s="13" t="b">
        <v>0</v>
      </c>
      <c r="AE38" s="13" t="b">
        <v>1</v>
      </c>
      <c r="AF38" s="38" t="b">
        <v>0</v>
      </c>
    </row>
    <row r="39" spans="1:32">
      <c r="A39" s="9" t="s">
        <v>64</v>
      </c>
      <c r="B39" s="9" t="s">
        <v>136</v>
      </c>
      <c r="C39" s="9" t="s">
        <v>59</v>
      </c>
      <c r="D39" s="9" t="s">
        <v>67</v>
      </c>
      <c r="E39" s="9" t="s">
        <v>61</v>
      </c>
      <c r="F39" s="9" t="s">
        <v>62</v>
      </c>
      <c r="G39" s="9" t="s">
        <v>62</v>
      </c>
      <c r="H39" s="9">
        <v>11107</v>
      </c>
      <c r="I39" s="9">
        <v>9000000</v>
      </c>
      <c r="J39" s="9">
        <v>40</v>
      </c>
      <c r="K39" s="9">
        <v>0</v>
      </c>
      <c r="L39" s="9">
        <v>2353</v>
      </c>
      <c r="M39" s="9">
        <v>2353</v>
      </c>
      <c r="N39" s="9" t="b">
        <v>0</v>
      </c>
      <c r="O39" s="9"/>
      <c r="P39" s="9"/>
      <c r="Q39" s="9"/>
      <c r="R39" s="9"/>
      <c r="S39" s="9" t="b">
        <v>0</v>
      </c>
      <c r="T39" s="9"/>
      <c r="U39" s="9"/>
      <c r="V39" s="9" t="b">
        <v>0</v>
      </c>
      <c r="W39" s="9" t="b">
        <v>0</v>
      </c>
      <c r="X39" s="33">
        <v>45838</v>
      </c>
      <c r="Y39" s="33">
        <f t="shared" si="2"/>
        <v>48191</v>
      </c>
      <c r="Z39" s="13">
        <v>1</v>
      </c>
      <c r="AA39" s="13" t="b">
        <v>0</v>
      </c>
      <c r="AB39" s="13">
        <v>1</v>
      </c>
      <c r="AC39" s="13" t="b">
        <v>0</v>
      </c>
      <c r="AD39" s="13" t="b">
        <v>0</v>
      </c>
      <c r="AE39" s="13" t="b">
        <v>1</v>
      </c>
      <c r="AF39" s="38" t="b">
        <v>0</v>
      </c>
    </row>
    <row r="40" spans="1:32">
      <c r="A40" s="9" t="s">
        <v>65</v>
      </c>
      <c r="B40" s="9" t="s">
        <v>136</v>
      </c>
      <c r="C40" s="9" t="s">
        <v>59</v>
      </c>
      <c r="D40" s="9" t="s">
        <v>67</v>
      </c>
      <c r="E40" s="9" t="s">
        <v>61</v>
      </c>
      <c r="F40" s="9" t="s">
        <v>62</v>
      </c>
      <c r="G40" s="9" t="s">
        <v>62</v>
      </c>
      <c r="H40" s="9">
        <v>16660</v>
      </c>
      <c r="I40" s="9">
        <v>36000000</v>
      </c>
      <c r="J40" s="9">
        <v>40</v>
      </c>
      <c r="K40" s="9">
        <v>0</v>
      </c>
      <c r="L40" s="9">
        <v>961</v>
      </c>
      <c r="M40" s="9">
        <v>961</v>
      </c>
      <c r="N40" s="9" t="b">
        <v>0</v>
      </c>
      <c r="O40" s="9"/>
      <c r="P40" s="9"/>
      <c r="Q40" s="9"/>
      <c r="R40" s="9"/>
      <c r="S40" s="9" t="b">
        <v>0</v>
      </c>
      <c r="T40" s="9"/>
      <c r="U40" s="9"/>
      <c r="V40" s="9" t="b">
        <v>0</v>
      </c>
      <c r="W40" s="9" t="b">
        <v>0</v>
      </c>
      <c r="X40" s="33">
        <v>45838</v>
      </c>
      <c r="Y40" s="33">
        <f t="shared" si="2"/>
        <v>46799</v>
      </c>
      <c r="Z40" s="13">
        <v>1</v>
      </c>
      <c r="AA40" s="13" t="b">
        <v>0</v>
      </c>
      <c r="AB40" s="13">
        <v>1</v>
      </c>
      <c r="AC40" s="13" t="b">
        <v>0</v>
      </c>
      <c r="AD40" s="13" t="b">
        <v>0</v>
      </c>
      <c r="AE40" s="13" t="b">
        <v>1</v>
      </c>
      <c r="AF40" s="38" t="b">
        <v>0</v>
      </c>
    </row>
    <row r="41" spans="1:32">
      <c r="A41" s="9" t="s">
        <v>70</v>
      </c>
      <c r="B41" s="9" t="s">
        <v>136</v>
      </c>
      <c r="C41" s="9" t="s">
        <v>59</v>
      </c>
      <c r="D41" s="9" t="s">
        <v>67</v>
      </c>
      <c r="E41" s="9" t="s">
        <v>61</v>
      </c>
      <c r="F41" s="9" t="s">
        <v>62</v>
      </c>
      <c r="G41" s="9" t="s">
        <v>62</v>
      </c>
      <c r="H41" s="9">
        <v>5553</v>
      </c>
      <c r="I41" s="9">
        <v>4000000</v>
      </c>
      <c r="J41" s="9">
        <v>40</v>
      </c>
      <c r="K41" s="9">
        <v>0</v>
      </c>
      <c r="L41" s="9">
        <v>199</v>
      </c>
      <c r="M41" s="9">
        <v>199</v>
      </c>
      <c r="N41" s="9" t="b">
        <v>0</v>
      </c>
      <c r="O41" s="9"/>
      <c r="P41" s="9"/>
      <c r="Q41" s="9"/>
      <c r="R41" s="9"/>
      <c r="S41" s="9" t="b">
        <v>0</v>
      </c>
      <c r="T41" s="9"/>
      <c r="U41" s="9"/>
      <c r="V41" s="9" t="b">
        <v>0</v>
      </c>
      <c r="W41" s="9" t="b">
        <v>0</v>
      </c>
      <c r="X41" s="33">
        <v>45838</v>
      </c>
      <c r="Y41" s="33">
        <f t="shared" si="2"/>
        <v>46037</v>
      </c>
      <c r="Z41" s="13">
        <v>1</v>
      </c>
      <c r="AA41" s="13" t="b">
        <v>0</v>
      </c>
      <c r="AB41" s="13">
        <v>1</v>
      </c>
      <c r="AC41" s="13" t="b">
        <v>0</v>
      </c>
      <c r="AD41" s="13" t="b">
        <v>0</v>
      </c>
      <c r="AE41" s="13" t="b">
        <v>1</v>
      </c>
      <c r="AF41" s="38" t="b">
        <v>0</v>
      </c>
    </row>
    <row r="42" spans="1:32">
      <c r="A42" s="9" t="s">
        <v>75</v>
      </c>
      <c r="B42" s="9" t="s">
        <v>136</v>
      </c>
      <c r="C42" s="9" t="s">
        <v>101</v>
      </c>
      <c r="D42" s="9" t="s">
        <v>60</v>
      </c>
      <c r="E42" s="9" t="s">
        <v>68</v>
      </c>
      <c r="F42" s="9" t="s">
        <v>73</v>
      </c>
      <c r="G42" s="9" t="s">
        <v>62</v>
      </c>
      <c r="H42" s="9">
        <v>-25040</v>
      </c>
      <c r="I42" s="9">
        <v>5506800</v>
      </c>
      <c r="J42" s="9">
        <v>40</v>
      </c>
      <c r="K42" s="9">
        <v>0</v>
      </c>
      <c r="L42" s="9">
        <v>250</v>
      </c>
      <c r="M42" s="9">
        <v>250</v>
      </c>
      <c r="N42" s="9" t="b">
        <v>0</v>
      </c>
      <c r="O42" s="9"/>
      <c r="P42" s="9"/>
      <c r="Q42" s="9"/>
      <c r="R42" s="9"/>
      <c r="S42" s="9" t="b">
        <v>1</v>
      </c>
      <c r="T42" s="9">
        <v>0</v>
      </c>
      <c r="U42" s="9">
        <v>0.04</v>
      </c>
      <c r="V42" s="9" t="b">
        <v>0</v>
      </c>
      <c r="W42" s="9" t="b">
        <v>0</v>
      </c>
      <c r="X42" s="33">
        <v>45838</v>
      </c>
      <c r="Y42" s="33">
        <f t="shared" si="2"/>
        <v>46088</v>
      </c>
      <c r="Z42" s="13">
        <v>-9.6153846153846096</v>
      </c>
      <c r="AA42" s="13" t="b">
        <v>0</v>
      </c>
      <c r="AB42" s="13">
        <v>1</v>
      </c>
      <c r="AC42" s="13" t="b">
        <v>0</v>
      </c>
      <c r="AD42" s="13" t="b">
        <v>0</v>
      </c>
      <c r="AE42" s="13" t="b">
        <v>1</v>
      </c>
      <c r="AF42" s="38" t="b">
        <v>0</v>
      </c>
    </row>
  </sheetData>
  <phoneticPr fontId="2" type="noConversion"/>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32F19-148F-2C4D-8812-7ED6C579EC69}">
  <dimension ref="A1:H8"/>
  <sheetViews>
    <sheetView zoomScale="115" zoomScaleNormal="115" workbookViewId="0">
      <selection activeCell="H7" sqref="H7"/>
    </sheetView>
  </sheetViews>
  <sheetFormatPr defaultColWidth="11" defaultRowHeight="15.5"/>
  <cols>
    <col min="1" max="2" width="11" style="13"/>
    <col min="3" max="3" width="26.5" style="13" customWidth="1"/>
    <col min="4" max="7" width="11" style="13"/>
    <col min="8" max="8" width="12.4140625" style="13" bestFit="1" customWidth="1"/>
    <col min="9" max="16384" width="11" style="13"/>
  </cols>
  <sheetData>
    <row r="1" spans="1:8">
      <c r="A1" s="8" t="s">
        <v>5</v>
      </c>
      <c r="B1" s="8" t="s">
        <v>7</v>
      </c>
      <c r="C1" s="8" t="s">
        <v>10</v>
      </c>
      <c r="D1" s="8" t="s">
        <v>13</v>
      </c>
      <c r="E1" s="8" t="s">
        <v>16</v>
      </c>
      <c r="F1" s="8" t="s">
        <v>19</v>
      </c>
      <c r="G1" s="8" t="s">
        <v>23</v>
      </c>
      <c r="H1" s="13" t="s">
        <v>129</v>
      </c>
    </row>
    <row r="2" spans="1:8">
      <c r="A2" s="9" t="s">
        <v>58</v>
      </c>
      <c r="B2" s="9" t="s">
        <v>104</v>
      </c>
      <c r="C2" s="9" t="s">
        <v>105</v>
      </c>
      <c r="D2" s="9">
        <v>853000</v>
      </c>
      <c r="E2" s="30">
        <v>300000</v>
      </c>
      <c r="F2" s="9">
        <v>0</v>
      </c>
      <c r="G2" s="9">
        <v>0</v>
      </c>
      <c r="H2" s="39">
        <v>1366947.4159262599</v>
      </c>
    </row>
    <row r="3" spans="1:8">
      <c r="A3" s="26" t="s">
        <v>100</v>
      </c>
      <c r="B3" s="26" t="s">
        <v>106</v>
      </c>
      <c r="C3" s="26" t="s">
        <v>105</v>
      </c>
      <c r="D3" s="26">
        <v>11000</v>
      </c>
      <c r="E3" s="26">
        <v>10000</v>
      </c>
      <c r="F3" s="26">
        <v>0</v>
      </c>
      <c r="G3" s="26">
        <v>0</v>
      </c>
      <c r="H3" s="39">
        <v>2923998.8877446498</v>
      </c>
    </row>
    <row r="4" spans="1:8">
      <c r="A4" s="9" t="s">
        <v>102</v>
      </c>
      <c r="B4" s="9" t="s">
        <v>107</v>
      </c>
      <c r="C4" s="9" t="s">
        <v>108</v>
      </c>
      <c r="D4" s="9">
        <v>110000</v>
      </c>
      <c r="E4" s="9"/>
      <c r="F4" s="9"/>
      <c r="G4" s="9"/>
      <c r="H4" s="39">
        <v>2325316.32239703</v>
      </c>
    </row>
    <row r="5" spans="1:8">
      <c r="A5" s="20" t="s">
        <v>103</v>
      </c>
      <c r="B5" s="20" t="s">
        <v>121</v>
      </c>
      <c r="C5" s="20" t="s">
        <v>105</v>
      </c>
      <c r="D5" s="20">
        <v>110000</v>
      </c>
      <c r="E5" s="20">
        <v>200000</v>
      </c>
      <c r="F5" s="20">
        <v>0</v>
      </c>
      <c r="G5" s="20">
        <v>0</v>
      </c>
      <c r="H5" s="39">
        <v>637373.53990790097</v>
      </c>
    </row>
    <row r="6" spans="1:8">
      <c r="A6" s="9" t="s">
        <v>122</v>
      </c>
      <c r="B6" s="9" t="s">
        <v>127</v>
      </c>
      <c r="C6" s="9" t="s">
        <v>105</v>
      </c>
      <c r="D6" s="9">
        <v>11000</v>
      </c>
      <c r="E6" s="9">
        <v>10000</v>
      </c>
      <c r="F6" s="9">
        <v>0</v>
      </c>
      <c r="G6" s="9">
        <v>0</v>
      </c>
      <c r="H6" s="39">
        <v>2901185.2370846602</v>
      </c>
    </row>
    <row r="7" spans="1:8">
      <c r="A7" s="20" t="s">
        <v>123</v>
      </c>
      <c r="B7" s="20" t="s">
        <v>128</v>
      </c>
      <c r="C7" s="20" t="s">
        <v>105</v>
      </c>
      <c r="D7" s="20">
        <v>426500</v>
      </c>
      <c r="E7" s="20">
        <v>650000</v>
      </c>
      <c r="F7" s="20">
        <v>0</v>
      </c>
      <c r="G7" s="20">
        <v>0</v>
      </c>
      <c r="H7" s="40">
        <v>578290.45268127485</v>
      </c>
    </row>
    <row r="8" spans="1:8">
      <c r="A8" s="9" t="s">
        <v>136</v>
      </c>
      <c r="B8" s="9" t="s">
        <v>127</v>
      </c>
      <c r="C8" s="9" t="s">
        <v>105</v>
      </c>
      <c r="D8" s="9">
        <v>11000</v>
      </c>
      <c r="E8" s="9">
        <v>10000</v>
      </c>
      <c r="F8" s="9">
        <v>0</v>
      </c>
      <c r="G8" s="9">
        <v>0</v>
      </c>
      <c r="H8" s="39">
        <v>2901185.2370846602</v>
      </c>
    </row>
  </sheetData>
  <phoneticPr fontId="2" type="noConversion"/>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2BC71-BDF1-4B40-863E-E7C3D9FD359A}">
  <dimension ref="A1:F15"/>
  <sheetViews>
    <sheetView zoomScale="85" zoomScaleNormal="85" workbookViewId="0">
      <selection activeCell="C19" sqref="C19"/>
    </sheetView>
  </sheetViews>
  <sheetFormatPr defaultColWidth="11" defaultRowHeight="15.5"/>
  <cols>
    <col min="1" max="1" width="22.1640625" style="13" bestFit="1" customWidth="1"/>
    <col min="2" max="2" width="25.33203125" style="13" bestFit="1" customWidth="1"/>
    <col min="3" max="3" width="19.5" style="13" customWidth="1"/>
    <col min="4" max="4" width="23.33203125" style="13" customWidth="1"/>
    <col min="5" max="5" width="24.6640625" style="13" customWidth="1"/>
    <col min="6" max="6" width="23" style="13" customWidth="1"/>
    <col min="7" max="16384" width="11" style="13"/>
  </cols>
  <sheetData>
    <row r="1" spans="1:6" ht="18.5">
      <c r="A1" s="27" t="s">
        <v>14</v>
      </c>
      <c r="B1" s="27" t="s">
        <v>17</v>
      </c>
      <c r="C1" s="27" t="s">
        <v>21</v>
      </c>
      <c r="D1" s="27" t="s">
        <v>109</v>
      </c>
      <c r="E1" s="27" t="s">
        <v>110</v>
      </c>
      <c r="F1" s="27" t="s">
        <v>111</v>
      </c>
    </row>
    <row r="2" spans="1:6" ht="18.5">
      <c r="A2" s="29" t="s">
        <v>61</v>
      </c>
      <c r="B2" s="29" t="s">
        <v>62</v>
      </c>
      <c r="C2" s="29" t="s">
        <v>62</v>
      </c>
      <c r="D2" s="28">
        <v>0.5</v>
      </c>
      <c r="E2" s="28"/>
      <c r="F2" s="28">
        <v>5.0000000000000001E-3</v>
      </c>
    </row>
    <row r="3" spans="1:6" ht="18.5">
      <c r="A3" s="29" t="s">
        <v>77</v>
      </c>
      <c r="B3" s="29" t="s">
        <v>62</v>
      </c>
      <c r="C3" s="29" t="s">
        <v>62</v>
      </c>
      <c r="D3" s="28">
        <v>0.15</v>
      </c>
      <c r="E3" s="28"/>
      <c r="F3" s="28">
        <v>0.04</v>
      </c>
    </row>
    <row r="4" spans="1:6" ht="18.5">
      <c r="A4" s="29" t="s">
        <v>68</v>
      </c>
      <c r="B4" s="29" t="s">
        <v>69</v>
      </c>
      <c r="C4" s="29" t="s">
        <v>62</v>
      </c>
      <c r="D4" s="28">
        <v>1</v>
      </c>
      <c r="E4" s="28">
        <v>0.5</v>
      </c>
      <c r="F4" s="28">
        <v>4.5999999999999999E-3</v>
      </c>
    </row>
    <row r="5" spans="1:6" ht="18.5">
      <c r="A5" s="29" t="s">
        <v>68</v>
      </c>
      <c r="B5" s="29" t="s">
        <v>73</v>
      </c>
      <c r="C5" s="29" t="s">
        <v>62</v>
      </c>
      <c r="D5" s="28">
        <v>1</v>
      </c>
      <c r="E5" s="28">
        <v>0.5</v>
      </c>
      <c r="F5" s="28">
        <v>1.3000000000000001E-2</v>
      </c>
    </row>
    <row r="6" spans="1:6" ht="18.5">
      <c r="A6" s="29" t="s">
        <v>68</v>
      </c>
      <c r="B6" s="29" t="s">
        <v>112</v>
      </c>
      <c r="C6" s="29" t="s">
        <v>62</v>
      </c>
      <c r="D6" s="28">
        <v>1</v>
      </c>
      <c r="E6" s="28">
        <v>0.5</v>
      </c>
      <c r="F6" s="28">
        <v>0.06</v>
      </c>
    </row>
    <row r="7" spans="1:6" ht="18.5">
      <c r="A7" s="29" t="s">
        <v>72</v>
      </c>
      <c r="B7" s="29" t="s">
        <v>69</v>
      </c>
      <c r="C7" s="29" t="s">
        <v>62</v>
      </c>
      <c r="D7" s="28">
        <v>0.8</v>
      </c>
      <c r="E7" s="28">
        <v>0.8</v>
      </c>
      <c r="F7" s="28">
        <v>3.8E-3</v>
      </c>
    </row>
    <row r="8" spans="1:6" ht="18.5">
      <c r="A8" s="29" t="s">
        <v>72</v>
      </c>
      <c r="B8" s="29" t="s">
        <v>73</v>
      </c>
      <c r="C8" s="29" t="s">
        <v>62</v>
      </c>
      <c r="D8" s="28">
        <v>0.8</v>
      </c>
      <c r="E8" s="28">
        <v>0.8</v>
      </c>
      <c r="F8" s="28">
        <v>1.06E-2</v>
      </c>
    </row>
    <row r="9" spans="1:6" ht="18.5">
      <c r="A9" s="29" t="s">
        <v>113</v>
      </c>
      <c r="B9" s="29" t="s">
        <v>62</v>
      </c>
      <c r="C9" s="29" t="s">
        <v>62</v>
      </c>
      <c r="D9" s="28">
        <v>1.2</v>
      </c>
      <c r="E9" s="28">
        <v>0.5</v>
      </c>
      <c r="F9" s="28">
        <v>0.32</v>
      </c>
    </row>
    <row r="10" spans="1:6" ht="18.5">
      <c r="A10" s="29" t="s">
        <v>82</v>
      </c>
      <c r="B10" s="29" t="s">
        <v>62</v>
      </c>
      <c r="C10" s="29" t="s">
        <v>62</v>
      </c>
      <c r="D10" s="28">
        <v>0.75</v>
      </c>
      <c r="E10" s="28">
        <v>0.8</v>
      </c>
      <c r="F10" s="28">
        <v>0.2</v>
      </c>
    </row>
    <row r="11" spans="1:6" ht="18.5">
      <c r="A11" s="29" t="s">
        <v>87</v>
      </c>
      <c r="B11" s="29" t="s">
        <v>88</v>
      </c>
      <c r="C11" s="29" t="s">
        <v>91</v>
      </c>
      <c r="D11" s="28">
        <v>1.5</v>
      </c>
      <c r="E11" s="28">
        <v>0.4</v>
      </c>
      <c r="F11" s="28">
        <v>0.4</v>
      </c>
    </row>
    <row r="12" spans="1:6" ht="18.5">
      <c r="A12" s="29" t="s">
        <v>87</v>
      </c>
      <c r="B12" s="29" t="s">
        <v>88</v>
      </c>
      <c r="C12" s="29" t="s">
        <v>89</v>
      </c>
      <c r="D12" s="28">
        <v>0.7</v>
      </c>
      <c r="E12" s="28">
        <v>0.4</v>
      </c>
      <c r="F12" s="28">
        <v>0.18</v>
      </c>
    </row>
    <row r="13" spans="1:6" ht="18.5">
      <c r="A13" s="29" t="s">
        <v>87</v>
      </c>
      <c r="B13" s="29" t="s">
        <v>99</v>
      </c>
      <c r="C13" s="29" t="s">
        <v>62</v>
      </c>
      <c r="D13" s="28">
        <v>0.7</v>
      </c>
      <c r="E13" s="28">
        <v>0.4</v>
      </c>
      <c r="F13" s="28">
        <v>0.18</v>
      </c>
    </row>
    <row r="14" spans="1:6" ht="18.5">
      <c r="A14" s="29" t="s">
        <v>87</v>
      </c>
      <c r="B14" s="29" t="s">
        <v>96</v>
      </c>
      <c r="C14" s="29" t="s">
        <v>62</v>
      </c>
      <c r="D14" s="28">
        <v>0.7</v>
      </c>
      <c r="E14" s="28">
        <v>0.4</v>
      </c>
      <c r="F14" s="28">
        <v>0.18</v>
      </c>
    </row>
    <row r="15" spans="1:6" ht="18.5">
      <c r="A15" s="29" t="s">
        <v>87</v>
      </c>
      <c r="B15" s="29" t="s">
        <v>89</v>
      </c>
      <c r="C15" s="29" t="s">
        <v>62</v>
      </c>
      <c r="D15" s="28">
        <v>0.7</v>
      </c>
      <c r="E15" s="28">
        <v>0.4</v>
      </c>
      <c r="F15" s="28">
        <v>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trades_inputs</vt:lpstr>
      <vt:lpstr>csa_inputs</vt:lpstr>
      <vt:lpstr>parameters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Guanzhuo Qiao</dc:creator>
  <cp:keywords/>
  <dc:description/>
  <cp:lastModifiedBy>joe z</cp:lastModifiedBy>
  <cp:revision/>
  <dcterms:created xsi:type="dcterms:W3CDTF">2023-09-22T14:25:12Z</dcterms:created>
  <dcterms:modified xsi:type="dcterms:W3CDTF">2026-01-29T17:47:27Z</dcterms:modified>
  <cp:category/>
  <cp:contentStatus/>
</cp:coreProperties>
</file>