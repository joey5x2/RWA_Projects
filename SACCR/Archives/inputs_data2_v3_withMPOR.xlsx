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T694HY\Downloads\"/>
    </mc:Choice>
  </mc:AlternateContent>
  <xr:revisionPtr revIDLastSave="0" documentId="13_ncr:1_{2BBC64A2-3A5E-4F31-8C88-8378AE6C0D45}" xr6:coauthVersionLast="47" xr6:coauthVersionMax="47" xr10:uidLastSave="{00000000-0000-0000-0000-000000000000}"/>
  <bookViews>
    <workbookView xWindow="-28815" yWindow="-16320" windowWidth="29040" windowHeight="15720" activeTab="1"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2" i="1" l="1"/>
  <c r="Y41" i="1"/>
  <c r="Y40" i="1"/>
  <c r="Y39" i="1"/>
  <c r="Y38" i="1"/>
  <c r="Y29" i="1"/>
  <c r="Y28" i="1"/>
  <c r="Y27" i="1"/>
  <c r="Y26" i="1"/>
  <c r="Y25" i="1"/>
  <c r="Y24" i="1"/>
  <c r="Y23" i="1"/>
  <c r="Y22" i="1"/>
  <c r="Y21" i="1"/>
  <c r="Y20" i="1"/>
  <c r="Y19" i="1"/>
  <c r="Y18" i="1"/>
  <c r="Y17" i="1"/>
  <c r="Y16" i="1"/>
  <c r="Y15" i="1"/>
  <c r="Y14" i="1"/>
  <c r="Y13" i="1"/>
  <c r="Y12" i="1"/>
  <c r="Y11" i="1"/>
  <c r="Y10" i="1"/>
  <c r="Y9" i="1"/>
  <c r="Y8" i="1"/>
  <c r="Y7" i="1"/>
  <c r="Y6" i="1"/>
  <c r="Y5" i="1"/>
  <c r="Y4" i="1"/>
  <c r="Y3" i="1"/>
  <c r="Y2" i="1"/>
  <c r="Y36" i="1"/>
  <c r="Y35" i="1"/>
  <c r="Y34" i="1"/>
  <c r="Y33" i="1"/>
  <c r="Y32" i="1"/>
  <c r="Y31" i="1"/>
  <c r="H23" i="1"/>
  <c r="H22" i="1"/>
</calcChain>
</file>

<file path=xl/sharedStrings.xml><?xml version="1.0" encoding="utf-8"?>
<sst xmlns="http://schemas.openxmlformats.org/spreadsheetml/2006/main" count="673" uniqueCount="139">
  <si>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</si>
  <si>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</si>
  <si>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</si>
  <si>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</si>
  <si>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</si>
  <si>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</si>
  <si>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</si>
  <si>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</si>
  <si>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</si>
  <si>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</si>
  <si>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</si>
  <si>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</si>
  <si>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</si>
  <si>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</si>
  <si>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</si>
  <si>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</si>
  <si>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</si>
  <si>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</si>
  <si>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</si>
  <si>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</si>
  <si>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</si>
  <si>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</si>
  <si>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</si>
  <si>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</si>
  <si>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</si>
  <si>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</si>
  <si>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</si>
  <si>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</si>
  <si>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</si>
  <si>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</si>
  <si>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</si>
  <si>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</si>
  <si>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</si>
  <si>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</si>
  <si>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</si>
  <si>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</si>
  <si>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</si>
  <si>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</si>
  <si>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</si>
  <si>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</si>
  <si>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</si>
  <si>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</si>
  <si>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</si>
  <si>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</si>
  <si>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</si>
  <si>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</si>
  <si>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</si>
  <si>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</si>
  <si>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</si>
  <si>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</si>
  <si>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</si>
  <si>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</si>
  <si>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</si>
  <si>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</si>
  <si>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</si>
  <si>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</si>
  <si>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</si>
  <si>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</si>
  <si>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</si>
  <si>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</si>
  <si>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</si>
  <si>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</si>
  <si>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</si>
  <si>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</si>
  <si>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</si>
  <si>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</si>
  <si>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</si>
  <si>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</si>
  <si>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</si>
  <si>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</si>
  <si>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</si>
  <si>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</si>
  <si>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</si>
  <si>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</si>
  <si>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</si>
  <si>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</si>
  <si>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</si>
  <si>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</si>
  <si>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</si>
  <si>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</si>
  <si>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</si>
  <si>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</si>
  <si>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</si>
  <si>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</si>
  <si>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</si>
  <si>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</si>
  <si>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</si>
  <si>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</si>
  <si>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</si>
  <si>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</si>
  <si>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</si>
  <si>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</si>
  <si>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</si>
  <si>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</si>
  <si>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</si>
  <si>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</si>
  <si>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</si>
  <si>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</si>
  <si>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</si>
  <si>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</si>
  <si>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</si>
  <si>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</si>
  <si>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</si>
  <si>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</si>
  <si>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</si>
  <si>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</si>
  <si>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</si>
  <si>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</si>
  <si>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</si>
  <si>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</si>
  <si>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</si>
  <si>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</si>
  <si>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</si>
  <si>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</si>
  <si>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</si>
  <si>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</si>
  <si>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</si>
  <si>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</si>
  <si>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</si>
  <si>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</si>
  <si>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</si>
  <si>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</si>
  <si>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MNA005</t>
  </si>
  <si>
    <t>MNA006</t>
  </si>
  <si>
    <t>COB_date</t>
  </si>
  <si>
    <t>System_end_date</t>
  </si>
  <si>
    <t>System_delta</t>
  </si>
  <si>
    <t>CSA_005</t>
  </si>
  <si>
    <t>CSA_006</t>
  </si>
  <si>
    <t>System_EAD</t>
  </si>
  <si>
    <t>is_client_facing</t>
  </si>
  <si>
    <t>margin frequency (BD)</t>
  </si>
  <si>
    <t>is_large_netting_set</t>
  </si>
  <si>
    <t>ns_has_difficult_to_replace_trade</t>
  </si>
  <si>
    <t>ns_has_illiquid_collateral</t>
  </si>
  <si>
    <t>margin_dispute</t>
  </si>
  <si>
    <t>N</t>
  </si>
  <si>
    <t>Y</t>
  </si>
  <si>
    <t>MNA007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</si>
</sst>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5">
    <font>
      <sz val="12"/>
      <color theme="1"/>
      <name val="Calibri"/>
      <family val="2"/>
      <scheme val="minor"/>
    </font>
    <font>
      <sz val="11"/>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
      <sz val="11"/>
      <color rgb="FF9C0006"/>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
      <patternFill patternType="solid">
        <fgColor rgb="FFFFC7CE"/>
      </patternFill>
    </fill>
    <fill>
      <patternFill patternType="solid">
        <fgColor theme="5" tint="0.79998168889431442"/>
        <bgColor indexed="65"/>
      </patternFill>
    </fill>
  </fills>
  <borders count="2">
    <border>
      <left/>
      <right/>
      <top/>
      <bottom/>
      <diagonal/>
    </border>
    <border>
      <left/>
      <right/>
      <top/>
      <bottom style="thin">
        <color indexed="64"/>
      </bottom>
      <diagonal/>
    </border>
  </borders>
  <cellStyleXfs count="5">
    <xf numFmtId="0" fontId="0" fillId="0" borderId="0"/>
    <xf numFmtId="43" fontId="4" fillId="0" borderId="0" applyFont="0" applyFill="0" applyBorder="0" applyAlignment="0" applyProtection="0"/>
    <xf numFmtId="44" fontId="4" fillId="0" borderId="0" applyFont="0" applyFill="0" applyBorder="0" applyAlignment="0" applyProtection="0"/>
    <xf numFmtId="0" fontId="13" fillId="7" borderId="0" applyNumberFormat="0" applyBorder="0" applyAlignment="0" applyProtection="0"/>
    <xf numFmtId="0" fontId="1" fillId="8" borderId="0" applyNumberFormat="0" applyBorder="0" applyAlignment="0" applyProtection="0"/>
  </cellStyleXfs>
  <cellXfs count="39">
    <xf numFmtId="0" fontId="0" fillId="0" borderId="0" xfId="0"/>
    <xf numFmtId="2" fontId="0" fillId="2" borderId="0" xfId="1" applyNumberFormat="1" applyFont="1" applyFill="1" applyAlignment="1">
      <alignment horizontal="left" vertical="center"/>
    </xf>
    <xf numFmtId="0" fontId="9" fillId="5" borderId="0" xfId="0" applyFont="1" applyFill="1"/>
    <xf numFmtId="0" fontId="9" fillId="5" borderId="0" xfId="0" applyFont="1" applyFill="1" applyAlignment="1">
      <alignment vertical="center" wrapText="1"/>
    </xf>
    <xf numFmtId="0" fontId="5"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5" fillId="0" borderId="0" xfId="0" applyFont="1" applyAlignment="1">
      <alignment horizontal="left"/>
    </xf>
    <xf numFmtId="0" fontId="0" fillId="2" borderId="0" xfId="0" applyFill="1" applyAlignment="1">
      <alignment horizontal="left"/>
    </xf>
    <xf numFmtId="0" fontId="7" fillId="2" borderId="0" xfId="0" applyFont="1" applyFill="1" applyAlignment="1">
      <alignment horizontal="left"/>
    </xf>
    <xf numFmtId="0" fontId="6"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8" fillId="2" borderId="0" xfId="0" applyFont="1" applyFill="1" applyAlignment="1">
      <alignment horizontal="left"/>
    </xf>
    <xf numFmtId="1" fontId="6" fillId="2" borderId="0" xfId="0" applyNumberFormat="1" applyFont="1" applyFill="1" applyAlignment="1">
      <alignment horizontal="left"/>
    </xf>
    <xf numFmtId="0" fontId="6"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3" fillId="2" borderId="0" xfId="0" applyFont="1" applyFill="1" applyAlignment="1">
      <alignment horizontal="left"/>
    </xf>
    <xf numFmtId="0" fontId="0" fillId="3" borderId="0" xfId="0" applyFill="1" applyAlignment="1">
      <alignment horizontal="left"/>
    </xf>
    <xf numFmtId="0" fontId="7" fillId="3" borderId="0" xfId="0" applyFont="1" applyFill="1" applyAlignment="1">
      <alignment horizontal="left"/>
    </xf>
    <xf numFmtId="0" fontId="3"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10" fillId="0" borderId="1" xfId="0" applyFont="1" applyBorder="1" applyAlignment="1">
      <alignment horizontal="left" vertical="center" wrapText="1"/>
    </xf>
    <xf numFmtId="164" fontId="0" fillId="0" borderId="0" xfId="0" applyNumberFormat="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12" fillId="2" borderId="0" xfId="2" applyNumberFormat="1" applyFont="1" applyFill="1" applyAlignment="1">
      <alignment horizontal="left" vertical="center"/>
    </xf>
    <xf numFmtId="0" fontId="12" fillId="3" borderId="0" xfId="0" applyFont="1" applyFill="1" applyAlignment="1">
      <alignment horizontal="left"/>
    </xf>
    <xf numFmtId="14" fontId="0" fillId="0" borderId="0" xfId="0" applyNumberFormat="1" applyAlignment="1">
      <alignment horizontal="left"/>
    </xf>
    <xf numFmtId="14" fontId="12" fillId="0" borderId="0" xfId="0" applyNumberFormat="1" applyFont="1" applyAlignment="1">
      <alignment horizontal="left"/>
    </xf>
    <xf numFmtId="0" fontId="0" fillId="6" borderId="0" xfId="0" applyFill="1" applyAlignment="1">
      <alignment horizontal="left"/>
    </xf>
    <xf numFmtId="0" fontId="12" fillId="0" borderId="0" xfId="0" applyFont="1" applyAlignment="1">
      <alignment horizontal="left"/>
    </xf>
    <xf numFmtId="0" fontId="14" fillId="8" borderId="0" xfId="4" applyFont="1"/>
    <xf numFmtId="0" fontId="13" fillId="7" borderId="0" xfId="3" applyAlignment="1">
      <alignment horizontal="left"/>
    </xf>
  </cellXfs>
  <cellStyles count="5">
    <cellStyle name="20% - Accent2" xfId="4" builtinId="34"/>
    <cellStyle name="Bad" xfId="3" builtinId="27"/>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85" zoomScaleNormal="85"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AF42"/>
  <sheetViews>
    <sheetView tabSelected="1" topLeftCell="M1" zoomScale="85" zoomScaleNormal="85" workbookViewId="0">
      <selection activeCell="A37" sqref="A37:Z42"/>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32"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c r="X1" s="8" t="s">
        <v>124</v>
      </c>
      <c r="Y1" s="8" t="s">
        <v>125</v>
      </c>
      <c r="Z1" s="8" t="s">
        <v>126</v>
      </c>
      <c r="AA1" s="37" t="s">
        <v>130</v>
      </c>
      <c r="AB1" s="37" t="s">
        <v>131</v>
      </c>
      <c r="AC1" s="37" t="s">
        <v>132</v>
      </c>
      <c r="AD1" s="37" t="s">
        <v>133</v>
      </c>
      <c r="AE1" s="37" t="s">
        <v>134</v>
      </c>
      <c r="AF1" s="37" t="s">
        <v>135</v>
      </c>
    </row>
    <row r="2" spans="1:32">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3">
        <v>45838</v>
      </c>
      <c r="Y2" s="33">
        <f>X2+L2</f>
        <v>48191</v>
      </c>
      <c r="Z2" s="13">
        <v>-1</v>
      </c>
      <c r="AA2" s="13" t="s">
        <v>136</v>
      </c>
      <c r="AB2" s="13">
        <v>1</v>
      </c>
      <c r="AC2" s="13" t="s">
        <v>136</v>
      </c>
      <c r="AD2" s="13" t="s">
        <v>136</v>
      </c>
      <c r="AE2" s="13" t="s">
        <v>136</v>
      </c>
      <c r="AF2" s="13" t="s">
        <v>136</v>
      </c>
    </row>
    <row r="3" spans="1:32">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3">
        <v>45838</v>
      </c>
      <c r="Y3" s="33">
        <f t="shared" ref="Y3:Y29" si="0">X3+L3</f>
        <v>46799</v>
      </c>
      <c r="Z3" s="13">
        <v>-1</v>
      </c>
      <c r="AA3" s="13" t="s">
        <v>136</v>
      </c>
      <c r="AB3" s="13">
        <v>1</v>
      </c>
      <c r="AC3" s="13" t="s">
        <v>136</v>
      </c>
      <c r="AD3" s="13" t="s">
        <v>136</v>
      </c>
      <c r="AE3" s="13" t="s">
        <v>136</v>
      </c>
      <c r="AF3" s="13" t="s">
        <v>136</v>
      </c>
    </row>
    <row r="4" spans="1:32">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3">
        <v>45838</v>
      </c>
      <c r="Y4" s="33">
        <f t="shared" si="0"/>
        <v>46037</v>
      </c>
      <c r="Z4" s="13">
        <v>-1</v>
      </c>
      <c r="AA4" s="13" t="s">
        <v>136</v>
      </c>
      <c r="AB4" s="13">
        <v>1</v>
      </c>
      <c r="AC4" s="13" t="s">
        <v>136</v>
      </c>
      <c r="AD4" s="13" t="s">
        <v>136</v>
      </c>
      <c r="AE4" s="13" t="s">
        <v>136</v>
      </c>
      <c r="AF4" s="13" t="s">
        <v>136</v>
      </c>
    </row>
    <row r="5" spans="1:32">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3">
        <v>45838</v>
      </c>
      <c r="Y5" s="33">
        <f t="shared" si="0"/>
        <v>45903</v>
      </c>
      <c r="Z5" s="13">
        <v>1</v>
      </c>
      <c r="AA5" s="13" t="s">
        <v>136</v>
      </c>
      <c r="AB5" s="13">
        <v>1</v>
      </c>
      <c r="AC5" s="13" t="s">
        <v>136</v>
      </c>
      <c r="AD5" s="13" t="s">
        <v>136</v>
      </c>
      <c r="AE5" s="13" t="s">
        <v>136</v>
      </c>
      <c r="AF5" s="13" t="s">
        <v>136</v>
      </c>
    </row>
    <row r="6" spans="1:32"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3">
        <v>45838</v>
      </c>
      <c r="Y6" s="33">
        <f t="shared" si="0"/>
        <v>46906</v>
      </c>
      <c r="Z6" s="16">
        <v>9.1521435516482105E-2</v>
      </c>
      <c r="AA6" s="13" t="s">
        <v>136</v>
      </c>
      <c r="AB6" s="13">
        <v>1</v>
      </c>
      <c r="AC6" s="13" t="s">
        <v>136</v>
      </c>
      <c r="AD6" s="13" t="s">
        <v>136</v>
      </c>
      <c r="AE6" s="13" t="s">
        <v>136</v>
      </c>
      <c r="AF6" s="13" t="s">
        <v>136</v>
      </c>
    </row>
    <row r="7" spans="1:32">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3">
        <v>45838</v>
      </c>
      <c r="Y7" s="33">
        <f t="shared" si="0"/>
        <v>45996</v>
      </c>
      <c r="Z7" s="13">
        <v>-1</v>
      </c>
      <c r="AA7" s="13" t="s">
        <v>136</v>
      </c>
      <c r="AB7" s="13">
        <v>1</v>
      </c>
      <c r="AC7" s="13" t="s">
        <v>136</v>
      </c>
      <c r="AD7" s="13" t="s">
        <v>136</v>
      </c>
      <c r="AE7" s="13" t="s">
        <v>136</v>
      </c>
      <c r="AF7" s="13" t="s">
        <v>136</v>
      </c>
    </row>
    <row r="8" spans="1:32">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3">
        <v>45838</v>
      </c>
      <c r="Y8" s="33">
        <f t="shared" si="0"/>
        <v>46058</v>
      </c>
      <c r="Z8" s="13">
        <v>-1</v>
      </c>
      <c r="AA8" s="13" t="s">
        <v>136</v>
      </c>
      <c r="AB8" s="13">
        <v>1</v>
      </c>
      <c r="AC8" s="13" t="s">
        <v>136</v>
      </c>
      <c r="AD8" s="13" t="s">
        <v>136</v>
      </c>
      <c r="AE8" s="13" t="s">
        <v>136</v>
      </c>
      <c r="AF8" s="13" t="s">
        <v>136</v>
      </c>
    </row>
    <row r="9" spans="1:32">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3">
        <v>45838</v>
      </c>
      <c r="Y9" s="33">
        <f t="shared" si="0"/>
        <v>46088</v>
      </c>
      <c r="Z9" s="13">
        <v>0.64616976667272297</v>
      </c>
      <c r="AA9" s="13" t="s">
        <v>136</v>
      </c>
      <c r="AB9" s="13">
        <v>1</v>
      </c>
      <c r="AC9" s="13" t="s">
        <v>136</v>
      </c>
      <c r="AD9" s="13" t="s">
        <v>136</v>
      </c>
      <c r="AE9" s="13" t="s">
        <v>136</v>
      </c>
      <c r="AF9" s="13" t="s">
        <v>136</v>
      </c>
    </row>
    <row r="10" spans="1:32">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3">
        <v>45838</v>
      </c>
      <c r="Y10" s="33">
        <f t="shared" si="0"/>
        <v>46088</v>
      </c>
      <c r="Z10" s="13">
        <v>-0.64616976667272297</v>
      </c>
      <c r="AA10" s="13" t="s">
        <v>136</v>
      </c>
      <c r="AB10" s="13">
        <v>1</v>
      </c>
      <c r="AC10" s="13" t="s">
        <v>136</v>
      </c>
      <c r="AD10" s="13" t="s">
        <v>136</v>
      </c>
      <c r="AE10" s="13" t="s">
        <v>136</v>
      </c>
      <c r="AF10" s="13" t="s">
        <v>136</v>
      </c>
    </row>
    <row r="11" spans="1:32">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3">
        <v>45838</v>
      </c>
      <c r="Y11" s="33">
        <f t="shared" si="0"/>
        <v>45963</v>
      </c>
      <c r="Z11" s="13">
        <v>0.59773446890843795</v>
      </c>
      <c r="AA11" s="13" t="s">
        <v>136</v>
      </c>
      <c r="AB11" s="13">
        <v>1</v>
      </c>
      <c r="AC11" s="13" t="s">
        <v>136</v>
      </c>
      <c r="AD11" s="13" t="s">
        <v>136</v>
      </c>
      <c r="AE11" s="13" t="s">
        <v>136</v>
      </c>
      <c r="AF11" s="13" t="s">
        <v>136</v>
      </c>
    </row>
    <row r="12" spans="1:32">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3">
        <v>45838</v>
      </c>
      <c r="Y12" s="33">
        <f t="shared" si="0"/>
        <v>45963</v>
      </c>
      <c r="Z12" s="13">
        <v>-1</v>
      </c>
      <c r="AA12" s="13" t="s">
        <v>136</v>
      </c>
      <c r="AB12" s="13">
        <v>1</v>
      </c>
      <c r="AC12" s="13" t="s">
        <v>136</v>
      </c>
      <c r="AD12" s="13" t="s">
        <v>136</v>
      </c>
      <c r="AE12" s="13" t="s">
        <v>136</v>
      </c>
      <c r="AF12" s="13" t="s">
        <v>136</v>
      </c>
    </row>
    <row r="13" spans="1:32">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3">
        <v>45838</v>
      </c>
      <c r="Y13" s="33">
        <f t="shared" si="0"/>
        <v>45963</v>
      </c>
      <c r="Z13" s="13">
        <v>-1</v>
      </c>
      <c r="AA13" s="13" t="s">
        <v>136</v>
      </c>
      <c r="AB13" s="13">
        <v>1</v>
      </c>
      <c r="AC13" s="13" t="s">
        <v>136</v>
      </c>
      <c r="AD13" s="13" t="s">
        <v>136</v>
      </c>
      <c r="AE13" s="13" t="s">
        <v>136</v>
      </c>
      <c r="AF13" s="13" t="s">
        <v>136</v>
      </c>
    </row>
    <row r="14" spans="1:32">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3">
        <v>45838</v>
      </c>
      <c r="Y14" s="33">
        <f t="shared" si="0"/>
        <v>45963</v>
      </c>
      <c r="Z14" s="13">
        <v>1</v>
      </c>
      <c r="AA14" s="13" t="s">
        <v>136</v>
      </c>
      <c r="AB14" s="13">
        <v>1</v>
      </c>
      <c r="AC14" s="13" t="s">
        <v>136</v>
      </c>
      <c r="AD14" s="13" t="s">
        <v>136</v>
      </c>
      <c r="AE14" s="13" t="s">
        <v>136</v>
      </c>
      <c r="AF14" s="13" t="s">
        <v>136</v>
      </c>
    </row>
    <row r="15" spans="1:32">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3">
        <v>45838</v>
      </c>
      <c r="Y15" s="33">
        <f t="shared" si="0"/>
        <v>46338</v>
      </c>
      <c r="Z15" s="13">
        <v>1</v>
      </c>
      <c r="AA15" s="13" t="s">
        <v>136</v>
      </c>
      <c r="AB15" s="13">
        <v>1</v>
      </c>
      <c r="AC15" s="13" t="s">
        <v>136</v>
      </c>
      <c r="AD15" s="13" t="s">
        <v>136</v>
      </c>
      <c r="AE15" s="13" t="s">
        <v>136</v>
      </c>
      <c r="AF15" s="13" t="s">
        <v>136</v>
      </c>
    </row>
    <row r="16" spans="1:32">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3">
        <v>45838</v>
      </c>
      <c r="Y16" s="33">
        <f t="shared" si="0"/>
        <v>48191</v>
      </c>
      <c r="Z16" s="13">
        <v>1</v>
      </c>
      <c r="AA16" s="13" t="s">
        <v>136</v>
      </c>
      <c r="AB16" s="13">
        <v>1</v>
      </c>
      <c r="AC16" s="13" t="s">
        <v>136</v>
      </c>
      <c r="AD16" s="13" t="s">
        <v>137</v>
      </c>
      <c r="AE16" s="13" t="s">
        <v>136</v>
      </c>
      <c r="AF16" s="13" t="s">
        <v>137</v>
      </c>
    </row>
    <row r="17" spans="1:32">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3">
        <v>45838</v>
      </c>
      <c r="Y17" s="33">
        <f t="shared" si="0"/>
        <v>48191</v>
      </c>
      <c r="Z17" s="13">
        <v>1</v>
      </c>
      <c r="AA17" s="13" t="s">
        <v>136</v>
      </c>
      <c r="AB17" s="13">
        <v>1</v>
      </c>
      <c r="AC17" s="13" t="s">
        <v>136</v>
      </c>
      <c r="AD17" s="13" t="s">
        <v>137</v>
      </c>
      <c r="AE17" s="13" t="s">
        <v>136</v>
      </c>
      <c r="AF17" s="13" t="s">
        <v>137</v>
      </c>
    </row>
    <row r="18" spans="1:32">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3">
        <v>45838</v>
      </c>
      <c r="Y18" s="33">
        <f t="shared" si="0"/>
        <v>48191</v>
      </c>
      <c r="Z18" s="13">
        <v>1</v>
      </c>
      <c r="AA18" s="13" t="s">
        <v>136</v>
      </c>
      <c r="AB18" s="13">
        <v>1</v>
      </c>
      <c r="AC18" s="13" t="s">
        <v>136</v>
      </c>
      <c r="AD18" s="13" t="s">
        <v>137</v>
      </c>
      <c r="AE18" s="13" t="s">
        <v>136</v>
      </c>
      <c r="AF18" s="13" t="s">
        <v>137</v>
      </c>
    </row>
    <row r="19" spans="1:32">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3">
        <v>45838</v>
      </c>
      <c r="Y19" s="33">
        <f t="shared" si="0"/>
        <v>46799</v>
      </c>
      <c r="Z19" s="13">
        <v>1</v>
      </c>
      <c r="AA19" s="13" t="s">
        <v>136</v>
      </c>
      <c r="AB19" s="13">
        <v>1</v>
      </c>
      <c r="AC19" s="13" t="s">
        <v>136</v>
      </c>
      <c r="AD19" s="13" t="s">
        <v>137</v>
      </c>
      <c r="AE19" s="13" t="s">
        <v>136</v>
      </c>
      <c r="AF19" s="13" t="s">
        <v>137</v>
      </c>
    </row>
    <row r="20" spans="1:32">
      <c r="A20" s="22" t="s">
        <v>70</v>
      </c>
      <c r="B20" s="20" t="s">
        <v>100</v>
      </c>
      <c r="C20" s="20" t="s">
        <v>59</v>
      </c>
      <c r="D20" s="20" t="s">
        <v>67</v>
      </c>
      <c r="E20" s="21" t="s">
        <v>61</v>
      </c>
      <c r="F20" s="21" t="s">
        <v>62</v>
      </c>
      <c r="G20" s="21" t="s">
        <v>62</v>
      </c>
      <c r="H20" s="20">
        <v>5553</v>
      </c>
      <c r="I20" s="20">
        <v>4000000</v>
      </c>
      <c r="J20" s="20">
        <v>40</v>
      </c>
      <c r="K20" s="20">
        <v>0</v>
      </c>
      <c r="L20" s="32">
        <v>499</v>
      </c>
      <c r="M20" s="32">
        <v>499</v>
      </c>
      <c r="N20" s="20" t="b">
        <v>0</v>
      </c>
      <c r="O20" s="20"/>
      <c r="P20" s="20"/>
      <c r="Q20" s="20"/>
      <c r="R20" s="20"/>
      <c r="S20" s="20" t="b">
        <v>0</v>
      </c>
      <c r="T20" s="20"/>
      <c r="U20" s="20"/>
      <c r="V20" s="22" t="b">
        <v>0</v>
      </c>
      <c r="W20" s="22" t="b">
        <v>0</v>
      </c>
      <c r="X20" s="33">
        <v>45838</v>
      </c>
      <c r="Y20" s="33">
        <f t="shared" si="0"/>
        <v>46337</v>
      </c>
      <c r="Z20" s="13">
        <v>1</v>
      </c>
      <c r="AA20" s="13" t="s">
        <v>136</v>
      </c>
      <c r="AB20" s="13">
        <v>1</v>
      </c>
      <c r="AC20" s="13" t="s">
        <v>136</v>
      </c>
      <c r="AD20" s="13" t="s">
        <v>137</v>
      </c>
      <c r="AE20" s="13" t="s">
        <v>136</v>
      </c>
      <c r="AF20" s="13" t="s">
        <v>137</v>
      </c>
    </row>
    <row r="21" spans="1:32">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3">
        <v>45838</v>
      </c>
      <c r="Y21" s="33">
        <f t="shared" si="0"/>
        <v>46088</v>
      </c>
      <c r="Z21" s="13">
        <v>-9.6153846153846096</v>
      </c>
      <c r="AA21" s="13" t="s">
        <v>136</v>
      </c>
      <c r="AB21" s="13">
        <v>1</v>
      </c>
      <c r="AC21" s="13" t="s">
        <v>136</v>
      </c>
      <c r="AD21" s="13" t="s">
        <v>137</v>
      </c>
      <c r="AE21" s="13" t="s">
        <v>136</v>
      </c>
      <c r="AF21" s="13" t="s">
        <v>137</v>
      </c>
    </row>
    <row r="22" spans="1:32">
      <c r="A22" s="9" t="s">
        <v>57</v>
      </c>
      <c r="B22" s="9" t="s">
        <v>102</v>
      </c>
      <c r="C22" s="9" t="s">
        <v>81</v>
      </c>
      <c r="D22" s="9" t="s">
        <v>67</v>
      </c>
      <c r="E22" s="10" t="s">
        <v>82</v>
      </c>
      <c r="F22" s="10" t="s">
        <v>62</v>
      </c>
      <c r="G22" s="10" t="s">
        <v>62</v>
      </c>
      <c r="H22" s="31">
        <f>813000*1.03</f>
        <v>837390</v>
      </c>
      <c r="I22" s="1">
        <v>6883500</v>
      </c>
      <c r="J22" s="9"/>
      <c r="K22" s="18">
        <v>0</v>
      </c>
      <c r="L22" s="18">
        <v>250</v>
      </c>
      <c r="M22" s="9">
        <v>250</v>
      </c>
      <c r="N22" s="9" t="b">
        <v>1</v>
      </c>
      <c r="O22" s="9" t="s">
        <v>74</v>
      </c>
      <c r="P22" s="1">
        <v>4589</v>
      </c>
      <c r="Q22" s="1">
        <v>4589</v>
      </c>
      <c r="R22" s="1">
        <v>250</v>
      </c>
      <c r="S22" s="9" t="b">
        <v>0</v>
      </c>
      <c r="T22" s="9"/>
      <c r="U22" s="9"/>
      <c r="V22" s="9" t="b">
        <v>0</v>
      </c>
      <c r="W22" s="9" t="b">
        <v>0</v>
      </c>
      <c r="X22" s="33">
        <v>45838</v>
      </c>
      <c r="Y22" s="33">
        <f t="shared" si="0"/>
        <v>46088</v>
      </c>
      <c r="Z22" s="13">
        <v>0.64616976667272297</v>
      </c>
      <c r="AA22" s="13" t="s">
        <v>136</v>
      </c>
      <c r="AB22" s="13">
        <v>1</v>
      </c>
      <c r="AC22" s="13" t="s">
        <v>136</v>
      </c>
      <c r="AD22" s="13" t="s">
        <v>136</v>
      </c>
      <c r="AE22" s="13" t="s">
        <v>136</v>
      </c>
      <c r="AF22" s="13" t="s">
        <v>136</v>
      </c>
    </row>
    <row r="23" spans="1:32">
      <c r="A23" s="9" t="s">
        <v>63</v>
      </c>
      <c r="B23" s="9" t="s">
        <v>102</v>
      </c>
      <c r="C23" s="9" t="s">
        <v>84</v>
      </c>
      <c r="D23" s="9" t="s">
        <v>67</v>
      </c>
      <c r="E23" s="10" t="s">
        <v>82</v>
      </c>
      <c r="F23" s="10" t="s">
        <v>62</v>
      </c>
      <c r="G23" s="10" t="s">
        <v>62</v>
      </c>
      <c r="H23" s="31">
        <f>-459120*1.02</f>
        <v>-468302.4</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3">
        <v>45838</v>
      </c>
      <c r="Y23" s="33">
        <f t="shared" si="0"/>
        <v>46088</v>
      </c>
      <c r="Z23" s="13">
        <v>0.64616976667272297</v>
      </c>
      <c r="AA23" s="13" t="s">
        <v>136</v>
      </c>
      <c r="AB23" s="13">
        <v>1</v>
      </c>
      <c r="AC23" s="13" t="s">
        <v>136</v>
      </c>
      <c r="AD23" s="13" t="s">
        <v>136</v>
      </c>
      <c r="AE23" s="13" t="s">
        <v>136</v>
      </c>
      <c r="AF23" s="13" t="s">
        <v>136</v>
      </c>
    </row>
    <row r="24" spans="1:32">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3">
        <v>45838</v>
      </c>
      <c r="Y24" s="33">
        <f t="shared" si="0"/>
        <v>45996</v>
      </c>
      <c r="Z24" s="13">
        <v>-1</v>
      </c>
      <c r="AA24" s="13" t="s">
        <v>136</v>
      </c>
      <c r="AB24" s="13">
        <v>1</v>
      </c>
      <c r="AC24" s="13" t="s">
        <v>136</v>
      </c>
      <c r="AD24" s="13" t="s">
        <v>136</v>
      </c>
      <c r="AE24" s="13" t="s">
        <v>136</v>
      </c>
      <c r="AF24" s="13" t="s">
        <v>136</v>
      </c>
    </row>
    <row r="25" spans="1:32">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3">
        <v>45838</v>
      </c>
      <c r="Y25" s="33">
        <f t="shared" si="0"/>
        <v>46058</v>
      </c>
      <c r="Z25" s="13">
        <v>-1</v>
      </c>
      <c r="AA25" s="13" t="s">
        <v>136</v>
      </c>
      <c r="AB25" s="13">
        <v>1</v>
      </c>
      <c r="AC25" s="13" t="s">
        <v>136</v>
      </c>
      <c r="AD25" s="13" t="s">
        <v>136</v>
      </c>
      <c r="AE25" s="13" t="s">
        <v>136</v>
      </c>
      <c r="AF25" s="13" t="s">
        <v>136</v>
      </c>
    </row>
    <row r="26" spans="1:32">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3">
        <v>45838</v>
      </c>
      <c r="Y26" s="33">
        <f t="shared" si="0"/>
        <v>46088</v>
      </c>
      <c r="Z26" s="13">
        <v>0.64616976667272297</v>
      </c>
      <c r="AA26" s="13" t="s">
        <v>136</v>
      </c>
      <c r="AB26" s="13">
        <v>1</v>
      </c>
      <c r="AC26" s="13" t="s">
        <v>136</v>
      </c>
      <c r="AD26" s="13" t="s">
        <v>136</v>
      </c>
      <c r="AE26" s="13" t="s">
        <v>136</v>
      </c>
      <c r="AF26" s="13" t="s">
        <v>136</v>
      </c>
    </row>
    <row r="27" spans="1:32">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3">
        <v>45838</v>
      </c>
      <c r="Y27" s="33">
        <f t="shared" si="0"/>
        <v>46088</v>
      </c>
      <c r="Z27" s="13">
        <v>0.64616976667272297</v>
      </c>
      <c r="AA27" s="13" t="s">
        <v>136</v>
      </c>
      <c r="AB27" s="13">
        <v>1</v>
      </c>
      <c r="AC27" s="13" t="s">
        <v>136</v>
      </c>
      <c r="AD27" s="13" t="s">
        <v>136</v>
      </c>
      <c r="AE27" s="13" t="s">
        <v>136</v>
      </c>
      <c r="AF27" s="13" t="s">
        <v>136</v>
      </c>
    </row>
    <row r="28" spans="1:32">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3">
        <v>45838</v>
      </c>
      <c r="Y28" s="33">
        <f t="shared" si="0"/>
        <v>45996</v>
      </c>
      <c r="Z28" s="13">
        <v>-1</v>
      </c>
      <c r="AA28" s="13" t="s">
        <v>136</v>
      </c>
      <c r="AB28" s="13">
        <v>1</v>
      </c>
      <c r="AC28" s="13" t="s">
        <v>136</v>
      </c>
      <c r="AD28" s="13" t="s">
        <v>136</v>
      </c>
      <c r="AE28" s="13" t="s">
        <v>136</v>
      </c>
      <c r="AF28" s="13" t="s">
        <v>136</v>
      </c>
    </row>
    <row r="29" spans="1:32">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3">
        <v>45838</v>
      </c>
      <c r="Y29" s="33">
        <f t="shared" si="0"/>
        <v>46058</v>
      </c>
      <c r="Z29" s="13">
        <v>-1</v>
      </c>
      <c r="AA29" s="13" t="s">
        <v>136</v>
      </c>
      <c r="AB29" s="13">
        <v>1</v>
      </c>
      <c r="AC29" s="13" t="s">
        <v>136</v>
      </c>
      <c r="AD29" s="13" t="s">
        <v>136</v>
      </c>
      <c r="AE29" s="13" t="s">
        <v>137</v>
      </c>
      <c r="AF29" s="13" t="s">
        <v>137</v>
      </c>
    </row>
    <row r="30" spans="1:32">
      <c r="A30" s="9" t="s">
        <v>57</v>
      </c>
      <c r="B30" s="9" t="s">
        <v>122</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3">
        <v>45838</v>
      </c>
      <c r="Y30" s="34">
        <v>45838</v>
      </c>
      <c r="Z30" s="13">
        <v>1</v>
      </c>
      <c r="AA30" s="13" t="s">
        <v>136</v>
      </c>
      <c r="AB30" s="13">
        <v>1</v>
      </c>
      <c r="AC30" s="13" t="s">
        <v>136</v>
      </c>
      <c r="AD30" s="13" t="s">
        <v>136</v>
      </c>
      <c r="AE30" s="13" t="s">
        <v>137</v>
      </c>
      <c r="AF30" s="13" t="s">
        <v>137</v>
      </c>
    </row>
    <row r="31" spans="1:32">
      <c r="A31" s="9" t="s">
        <v>63</v>
      </c>
      <c r="B31" s="9" t="s">
        <v>122</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3">
        <v>45838</v>
      </c>
      <c r="Y31" s="33">
        <f t="shared" ref="Y31:Y36" si="1">X31+L31</f>
        <v>48191</v>
      </c>
      <c r="Z31" s="13">
        <v>1</v>
      </c>
      <c r="AA31" s="13" t="s">
        <v>136</v>
      </c>
      <c r="AB31" s="13">
        <v>1</v>
      </c>
      <c r="AC31" s="13" t="s">
        <v>136</v>
      </c>
      <c r="AD31" s="13" t="s">
        <v>136</v>
      </c>
      <c r="AE31" s="13" t="s">
        <v>137</v>
      </c>
      <c r="AF31" s="13" t="s">
        <v>137</v>
      </c>
    </row>
    <row r="32" spans="1:32">
      <c r="A32" s="9" t="s">
        <v>64</v>
      </c>
      <c r="B32" s="9" t="s">
        <v>122</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3">
        <v>45838</v>
      </c>
      <c r="Y32" s="33">
        <f t="shared" si="1"/>
        <v>48191</v>
      </c>
      <c r="Z32" s="13">
        <v>1</v>
      </c>
      <c r="AA32" s="13" t="s">
        <v>136</v>
      </c>
      <c r="AB32" s="13">
        <v>1</v>
      </c>
      <c r="AC32" s="13" t="s">
        <v>136</v>
      </c>
      <c r="AD32" s="13" t="s">
        <v>136</v>
      </c>
      <c r="AE32" s="13" t="s">
        <v>137</v>
      </c>
      <c r="AF32" s="13" t="s">
        <v>137</v>
      </c>
    </row>
    <row r="33" spans="1:32">
      <c r="A33" s="9" t="s">
        <v>65</v>
      </c>
      <c r="B33" s="9" t="s">
        <v>122</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3">
        <v>45838</v>
      </c>
      <c r="Y33" s="33">
        <f t="shared" si="1"/>
        <v>46799</v>
      </c>
      <c r="Z33" s="13">
        <v>1</v>
      </c>
      <c r="AA33" s="13" t="s">
        <v>136</v>
      </c>
      <c r="AB33" s="13">
        <v>1</v>
      </c>
      <c r="AC33" s="13" t="s">
        <v>136</v>
      </c>
      <c r="AD33" s="13" t="s">
        <v>136</v>
      </c>
      <c r="AE33" s="13" t="s">
        <v>137</v>
      </c>
      <c r="AF33" s="13" t="s">
        <v>137</v>
      </c>
    </row>
    <row r="34" spans="1:32">
      <c r="A34" s="9" t="s">
        <v>70</v>
      </c>
      <c r="B34" s="9" t="s">
        <v>122</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3">
        <v>45838</v>
      </c>
      <c r="Y34" s="33">
        <f t="shared" si="1"/>
        <v>46037</v>
      </c>
      <c r="Z34" s="13">
        <v>1</v>
      </c>
      <c r="AA34" s="13" t="s">
        <v>136</v>
      </c>
      <c r="AB34" s="13">
        <v>1</v>
      </c>
      <c r="AC34" s="13" t="s">
        <v>136</v>
      </c>
      <c r="AD34" s="13" t="s">
        <v>136</v>
      </c>
      <c r="AE34" s="13" t="s">
        <v>137</v>
      </c>
      <c r="AF34" s="13" t="s">
        <v>137</v>
      </c>
    </row>
    <row r="35" spans="1:32">
      <c r="A35" s="9" t="s">
        <v>75</v>
      </c>
      <c r="B35" s="9" t="s">
        <v>122</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3">
        <v>45838</v>
      </c>
      <c r="Y35" s="33">
        <f t="shared" si="1"/>
        <v>46088</v>
      </c>
      <c r="Z35" s="13">
        <v>-9.6153846153846096</v>
      </c>
      <c r="AA35" s="13" t="s">
        <v>136</v>
      </c>
      <c r="AB35" s="13">
        <v>1</v>
      </c>
      <c r="AC35" s="13" t="s">
        <v>136</v>
      </c>
      <c r="AD35" s="13" t="s">
        <v>136</v>
      </c>
      <c r="AE35" s="13" t="s">
        <v>137</v>
      </c>
      <c r="AF35" s="13" t="s">
        <v>137</v>
      </c>
    </row>
    <row r="36" spans="1:32">
      <c r="A36" s="35" t="s">
        <v>57</v>
      </c>
      <c r="B36" s="35" t="s">
        <v>123</v>
      </c>
      <c r="C36" s="35" t="s">
        <v>84</v>
      </c>
      <c r="D36" s="35" t="s">
        <v>60</v>
      </c>
      <c r="E36" s="35" t="s">
        <v>82</v>
      </c>
      <c r="F36" s="35" t="s">
        <v>62</v>
      </c>
      <c r="G36" s="35" t="s">
        <v>62</v>
      </c>
      <c r="H36" s="35">
        <v>-459120</v>
      </c>
      <c r="I36" s="35">
        <v>5139168</v>
      </c>
      <c r="J36" s="35">
        <v>10</v>
      </c>
      <c r="K36" s="35">
        <v>0</v>
      </c>
      <c r="L36" s="35">
        <v>250</v>
      </c>
      <c r="M36" s="35">
        <v>250</v>
      </c>
      <c r="N36" s="35" t="b">
        <v>1</v>
      </c>
      <c r="O36" s="35" t="s">
        <v>74</v>
      </c>
      <c r="P36" s="35">
        <v>4282.6400000000003</v>
      </c>
      <c r="Q36" s="35">
        <v>4282.6400000000003</v>
      </c>
      <c r="R36" s="35">
        <v>250</v>
      </c>
      <c r="S36" s="35" t="b">
        <v>0</v>
      </c>
      <c r="T36" s="35"/>
      <c r="U36" s="35"/>
      <c r="V36" s="35" t="b">
        <v>0</v>
      </c>
      <c r="W36" s="35" t="b">
        <v>0</v>
      </c>
      <c r="X36" s="33">
        <v>45838</v>
      </c>
      <c r="Y36" s="33">
        <f t="shared" si="1"/>
        <v>46088</v>
      </c>
      <c r="Z36" s="36">
        <v>-3</v>
      </c>
      <c r="AA36" s="13" t="s">
        <v>136</v>
      </c>
      <c r="AB36" s="13">
        <v>1</v>
      </c>
      <c r="AC36" s="13" t="s">
        <v>136</v>
      </c>
      <c r="AD36" s="13" t="s">
        <v>136</v>
      </c>
      <c r="AE36" s="13" t="s">
        <v>136</v>
      </c>
      <c r="AF36" s="13" t="s">
        <v>136</v>
      </c>
    </row>
    <row r="37" spans="1:32">
      <c r="A37" s="9" t="s">
        <v>57</v>
      </c>
      <c r="B37" s="9" t="s">
        <v>138</v>
      </c>
      <c r="C37" s="9" t="s">
        <v>118</v>
      </c>
      <c r="D37" s="9" t="s">
        <v>67</v>
      </c>
      <c r="E37" s="9" t="s">
        <v>61</v>
      </c>
      <c r="F37" s="9" t="s">
        <v>62</v>
      </c>
      <c r="G37" s="9" t="s">
        <v>62</v>
      </c>
      <c r="H37" s="9">
        <v>11107</v>
      </c>
      <c r="I37" s="9">
        <v>9000000</v>
      </c>
      <c r="J37" s="9">
        <v>40</v>
      </c>
      <c r="K37" s="9">
        <v>0</v>
      </c>
      <c r="L37" s="9">
        <v>2353</v>
      </c>
      <c r="M37" s="9">
        <v>2353</v>
      </c>
      <c r="N37" s="9" t="b">
        <v>0</v>
      </c>
      <c r="O37" s="9"/>
      <c r="P37" s="9"/>
      <c r="Q37" s="9"/>
      <c r="R37" s="9"/>
      <c r="S37" s="9" t="b">
        <v>0</v>
      </c>
      <c r="T37" s="9"/>
      <c r="U37" s="9"/>
      <c r="V37" s="9" t="b">
        <v>0</v>
      </c>
      <c r="W37" s="9" t="b">
        <v>1</v>
      </c>
      <c r="X37" s="33">
        <v>45838</v>
      </c>
      <c r="Y37" s="34">
        <v>45838</v>
      </c>
      <c r="Z37" s="13">
        <v>1</v>
      </c>
      <c r="AA37" s="13" t="s">
        <v>136</v>
      </c>
      <c r="AB37" s="13">
        <v>1</v>
      </c>
      <c r="AC37" s="13" t="s">
        <v>136</v>
      </c>
      <c r="AD37" s="13" t="s">
        <v>136</v>
      </c>
      <c r="AE37" s="13" t="s">
        <v>137</v>
      </c>
      <c r="AF37" s="38" t="s">
        <v>136</v>
      </c>
    </row>
    <row r="38" spans="1:32">
      <c r="A38" s="9" t="s">
        <v>63</v>
      </c>
      <c r="B38" s="9" t="s">
        <v>138</v>
      </c>
      <c r="C38" s="9" t="s">
        <v>59</v>
      </c>
      <c r="D38" s="9" t="s">
        <v>67</v>
      </c>
      <c r="E38" s="9" t="s">
        <v>61</v>
      </c>
      <c r="F38" s="9" t="s">
        <v>62</v>
      </c>
      <c r="G38" s="9" t="s">
        <v>62</v>
      </c>
      <c r="H38" s="9">
        <v>11107</v>
      </c>
      <c r="I38" s="9">
        <v>9000000</v>
      </c>
      <c r="J38" s="9">
        <v>40</v>
      </c>
      <c r="K38" s="9">
        <v>0</v>
      </c>
      <c r="L38" s="9">
        <v>2353</v>
      </c>
      <c r="M38" s="9">
        <v>2353</v>
      </c>
      <c r="N38" s="9" t="b">
        <v>0</v>
      </c>
      <c r="O38" s="9"/>
      <c r="P38" s="9"/>
      <c r="Q38" s="9"/>
      <c r="R38" s="9"/>
      <c r="S38" s="9" t="b">
        <v>0</v>
      </c>
      <c r="T38" s="9"/>
      <c r="U38" s="9"/>
      <c r="V38" s="9" t="b">
        <v>1</v>
      </c>
      <c r="W38" s="9" t="b">
        <v>0</v>
      </c>
      <c r="X38" s="33">
        <v>45838</v>
      </c>
      <c r="Y38" s="33">
        <f t="shared" ref="Y38:Y42" si="2">X38+L38</f>
        <v>48191</v>
      </c>
      <c r="Z38" s="13">
        <v>1</v>
      </c>
      <c r="AA38" s="13" t="s">
        <v>136</v>
      </c>
      <c r="AB38" s="13">
        <v>1</v>
      </c>
      <c r="AC38" s="13" t="s">
        <v>136</v>
      </c>
      <c r="AD38" s="13" t="s">
        <v>136</v>
      </c>
      <c r="AE38" s="13" t="s">
        <v>137</v>
      </c>
      <c r="AF38" s="38" t="s">
        <v>136</v>
      </c>
    </row>
    <row r="39" spans="1:32">
      <c r="A39" s="9" t="s">
        <v>64</v>
      </c>
      <c r="B39" s="9" t="s">
        <v>138</v>
      </c>
      <c r="C39" s="9" t="s">
        <v>59</v>
      </c>
      <c r="D39" s="9" t="s">
        <v>67</v>
      </c>
      <c r="E39" s="9" t="s">
        <v>61</v>
      </c>
      <c r="F39" s="9" t="s">
        <v>62</v>
      </c>
      <c r="G39" s="9" t="s">
        <v>62</v>
      </c>
      <c r="H39" s="9">
        <v>11107</v>
      </c>
      <c r="I39" s="9">
        <v>9000000</v>
      </c>
      <c r="J39" s="9">
        <v>40</v>
      </c>
      <c r="K39" s="9">
        <v>0</v>
      </c>
      <c r="L39" s="9">
        <v>2353</v>
      </c>
      <c r="M39" s="9">
        <v>2353</v>
      </c>
      <c r="N39" s="9" t="b">
        <v>0</v>
      </c>
      <c r="O39" s="9"/>
      <c r="P39" s="9"/>
      <c r="Q39" s="9"/>
      <c r="R39" s="9"/>
      <c r="S39" s="9" t="b">
        <v>0</v>
      </c>
      <c r="T39" s="9"/>
      <c r="U39" s="9"/>
      <c r="V39" s="9" t="b">
        <v>0</v>
      </c>
      <c r="W39" s="9" t="b">
        <v>0</v>
      </c>
      <c r="X39" s="33">
        <v>45838</v>
      </c>
      <c r="Y39" s="33">
        <f t="shared" si="2"/>
        <v>48191</v>
      </c>
      <c r="Z39" s="13">
        <v>1</v>
      </c>
      <c r="AA39" s="13" t="s">
        <v>136</v>
      </c>
      <c r="AB39" s="13">
        <v>1</v>
      </c>
      <c r="AC39" s="13" t="s">
        <v>136</v>
      </c>
      <c r="AD39" s="13" t="s">
        <v>136</v>
      </c>
      <c r="AE39" s="13" t="s">
        <v>137</v>
      </c>
      <c r="AF39" s="38" t="s">
        <v>136</v>
      </c>
    </row>
    <row r="40" spans="1:32">
      <c r="A40" s="9" t="s">
        <v>65</v>
      </c>
      <c r="B40" s="9" t="s">
        <v>138</v>
      </c>
      <c r="C40" s="9" t="s">
        <v>59</v>
      </c>
      <c r="D40" s="9" t="s">
        <v>67</v>
      </c>
      <c r="E40" s="9" t="s">
        <v>61</v>
      </c>
      <c r="F40" s="9" t="s">
        <v>62</v>
      </c>
      <c r="G40" s="9" t="s">
        <v>62</v>
      </c>
      <c r="H40" s="9">
        <v>16660</v>
      </c>
      <c r="I40" s="9">
        <v>36000000</v>
      </c>
      <c r="J40" s="9">
        <v>40</v>
      </c>
      <c r="K40" s="9">
        <v>0</v>
      </c>
      <c r="L40" s="9">
        <v>961</v>
      </c>
      <c r="M40" s="9">
        <v>961</v>
      </c>
      <c r="N40" s="9" t="b">
        <v>0</v>
      </c>
      <c r="O40" s="9"/>
      <c r="P40" s="9"/>
      <c r="Q40" s="9"/>
      <c r="R40" s="9"/>
      <c r="S40" s="9" t="b">
        <v>0</v>
      </c>
      <c r="T40" s="9"/>
      <c r="U40" s="9"/>
      <c r="V40" s="9" t="b">
        <v>0</v>
      </c>
      <c r="W40" s="9" t="b">
        <v>0</v>
      </c>
      <c r="X40" s="33">
        <v>45838</v>
      </c>
      <c r="Y40" s="33">
        <f t="shared" si="2"/>
        <v>46799</v>
      </c>
      <c r="Z40" s="13">
        <v>1</v>
      </c>
      <c r="AA40" s="13" t="s">
        <v>136</v>
      </c>
      <c r="AB40" s="13">
        <v>1</v>
      </c>
      <c r="AC40" s="13" t="s">
        <v>136</v>
      </c>
      <c r="AD40" s="13" t="s">
        <v>136</v>
      </c>
      <c r="AE40" s="13" t="s">
        <v>137</v>
      </c>
      <c r="AF40" s="38" t="s">
        <v>136</v>
      </c>
    </row>
    <row r="41" spans="1:32">
      <c r="A41" s="9" t="s">
        <v>70</v>
      </c>
      <c r="B41" s="9" t="s">
        <v>138</v>
      </c>
      <c r="C41" s="9" t="s">
        <v>59</v>
      </c>
      <c r="D41" s="9" t="s">
        <v>67</v>
      </c>
      <c r="E41" s="9" t="s">
        <v>61</v>
      </c>
      <c r="F41" s="9" t="s">
        <v>62</v>
      </c>
      <c r="G41" s="9" t="s">
        <v>62</v>
      </c>
      <c r="H41" s="9">
        <v>5553</v>
      </c>
      <c r="I41" s="9">
        <v>4000000</v>
      </c>
      <c r="J41" s="9">
        <v>40</v>
      </c>
      <c r="K41" s="9">
        <v>0</v>
      </c>
      <c r="L41" s="9">
        <v>199</v>
      </c>
      <c r="M41" s="9">
        <v>199</v>
      </c>
      <c r="N41" s="9" t="b">
        <v>0</v>
      </c>
      <c r="O41" s="9"/>
      <c r="P41" s="9"/>
      <c r="Q41" s="9"/>
      <c r="R41" s="9"/>
      <c r="S41" s="9" t="b">
        <v>0</v>
      </c>
      <c r="T41" s="9"/>
      <c r="U41" s="9"/>
      <c r="V41" s="9" t="b">
        <v>0</v>
      </c>
      <c r="W41" s="9" t="b">
        <v>0</v>
      </c>
      <c r="X41" s="33">
        <v>45838</v>
      </c>
      <c r="Y41" s="33">
        <f t="shared" si="2"/>
        <v>46037</v>
      </c>
      <c r="Z41" s="13">
        <v>1</v>
      </c>
      <c r="AA41" s="13" t="s">
        <v>136</v>
      </c>
      <c r="AB41" s="13">
        <v>1</v>
      </c>
      <c r="AC41" s="13" t="s">
        <v>136</v>
      </c>
      <c r="AD41" s="13" t="s">
        <v>136</v>
      </c>
      <c r="AE41" s="13" t="s">
        <v>137</v>
      </c>
      <c r="AF41" s="38" t="s">
        <v>136</v>
      </c>
    </row>
    <row r="42" spans="1:32">
      <c r="A42" s="9" t="s">
        <v>75</v>
      </c>
      <c r="B42" s="9" t="s">
        <v>138</v>
      </c>
      <c r="C42" s="9" t="s">
        <v>101</v>
      </c>
      <c r="D42" s="9" t="s">
        <v>60</v>
      </c>
      <c r="E42" s="9" t="s">
        <v>68</v>
      </c>
      <c r="F42" s="9" t="s">
        <v>73</v>
      </c>
      <c r="G42" s="9" t="s">
        <v>62</v>
      </c>
      <c r="H42" s="9">
        <v>-25040</v>
      </c>
      <c r="I42" s="9">
        <v>5506800</v>
      </c>
      <c r="J42" s="9">
        <v>40</v>
      </c>
      <c r="K42" s="9">
        <v>0</v>
      </c>
      <c r="L42" s="9">
        <v>250</v>
      </c>
      <c r="M42" s="9">
        <v>250</v>
      </c>
      <c r="N42" s="9" t="b">
        <v>0</v>
      </c>
      <c r="O42" s="9"/>
      <c r="P42" s="9"/>
      <c r="Q42" s="9"/>
      <c r="R42" s="9"/>
      <c r="S42" s="9" t="b">
        <v>1</v>
      </c>
      <c r="T42" s="9">
        <v>0</v>
      </c>
      <c r="U42" s="9">
        <v>0.04</v>
      </c>
      <c r="V42" s="9" t="b">
        <v>0</v>
      </c>
      <c r="W42" s="9" t="b">
        <v>0</v>
      </c>
      <c r="X42" s="33">
        <v>45838</v>
      </c>
      <c r="Y42" s="33">
        <f t="shared" si="2"/>
        <v>46088</v>
      </c>
      <c r="Z42" s="13">
        <v>-9.6153846153846096</v>
      </c>
      <c r="AA42" s="13" t="s">
        <v>136</v>
      </c>
      <c r="AB42" s="13">
        <v>1</v>
      </c>
      <c r="AC42" s="13" t="s">
        <v>136</v>
      </c>
      <c r="AD42" s="13" t="s">
        <v>136</v>
      </c>
      <c r="AE42" s="13" t="s">
        <v>137</v>
      </c>
      <c r="AF42" s="38" t="s">
        <v>136</v>
      </c>
    </row>
  </sheetData>
  <phoneticPr fontId="2"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7"/>
  <sheetViews>
    <sheetView zoomScale="115" zoomScaleNormal="115" workbookViewId="0">
      <selection activeCell="I11" sqref="I11"/>
    </sheetView>
  </sheetViews>
  <sheetFormatPr defaultColWidth="11" defaultRowHeight="15.5"/>
  <cols>
    <col min="1" max="2" width="11" style="13"/>
    <col min="3" max="3" width="26.5" style="13" customWidth="1"/>
    <col min="4"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30">
        <v>300000</v>
      </c>
      <c r="F2" s="9">
        <v>0</v>
      </c>
      <c r="G2" s="9">
        <v>0</v>
      </c>
      <c r="H2" s="13">
        <v>1366947.4159262599</v>
      </c>
    </row>
    <row r="3" spans="1:8">
      <c r="A3" s="26" t="s">
        <v>100</v>
      </c>
      <c r="B3" s="26" t="s">
        <v>106</v>
      </c>
      <c r="C3" s="26" t="s">
        <v>105</v>
      </c>
      <c r="D3" s="26">
        <v>11000</v>
      </c>
      <c r="E3" s="26">
        <v>10000</v>
      </c>
      <c r="F3" s="26">
        <v>0</v>
      </c>
      <c r="G3" s="26">
        <v>0</v>
      </c>
      <c r="H3" s="13">
        <v>2923998.8877446498</v>
      </c>
    </row>
    <row r="4" spans="1:8">
      <c r="A4" s="9" t="s">
        <v>102</v>
      </c>
      <c r="B4" s="9" t="s">
        <v>107</v>
      </c>
      <c r="C4" s="9" t="s">
        <v>108</v>
      </c>
      <c r="D4" s="9">
        <v>110000</v>
      </c>
      <c r="E4" s="9"/>
      <c r="F4" s="9"/>
      <c r="G4" s="9"/>
      <c r="H4" s="13">
        <v>2325316.32239703</v>
      </c>
    </row>
    <row r="5" spans="1:8">
      <c r="A5" s="20" t="s">
        <v>103</v>
      </c>
      <c r="B5" s="20" t="s">
        <v>121</v>
      </c>
      <c r="C5" s="20" t="s">
        <v>105</v>
      </c>
      <c r="D5" s="20">
        <v>110000</v>
      </c>
      <c r="E5" s="20">
        <v>200000</v>
      </c>
      <c r="F5" s="20">
        <v>0</v>
      </c>
      <c r="G5" s="20">
        <v>0</v>
      </c>
      <c r="H5" s="13">
        <v>637373.53990790097</v>
      </c>
    </row>
    <row r="6" spans="1:8">
      <c r="A6" s="9" t="s">
        <v>122</v>
      </c>
      <c r="B6" s="9" t="s">
        <v>127</v>
      </c>
      <c r="C6" s="9" t="s">
        <v>105</v>
      </c>
      <c r="D6" s="9">
        <v>11000</v>
      </c>
      <c r="E6" s="9">
        <v>10000</v>
      </c>
      <c r="F6" s="9">
        <v>0</v>
      </c>
      <c r="G6" s="9">
        <v>0</v>
      </c>
      <c r="H6" s="13">
        <v>2901185.2370846602</v>
      </c>
    </row>
    <row r="7" spans="1:8">
      <c r="A7" s="20" t="s">
        <v>123</v>
      </c>
      <c r="B7" s="20" t="s">
        <v>128</v>
      </c>
      <c r="C7" s="20" t="s">
        <v>105</v>
      </c>
      <c r="D7" s="20">
        <v>426500</v>
      </c>
      <c r="E7" s="20">
        <v>650000</v>
      </c>
      <c r="F7" s="20">
        <v>0</v>
      </c>
      <c r="G7" s="20">
        <v>0</v>
      </c>
      <c r="H7" s="13">
        <v>18534.7492476015</v>
      </c>
    </row>
  </sheetData>
  <phoneticPr fontId="2"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zoomScale="85" zoomScaleNormal="85"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Zihan Liu</cp:lastModifiedBy>
  <cp:revision/>
  <dcterms:created xsi:type="dcterms:W3CDTF">2023-09-22T14:25:12Z</dcterms:created>
  <dcterms:modified xsi:type="dcterms:W3CDTF">2026-01-27T03:28:02Z</dcterms:modified>
  <cp:category/>
  <cp:contentStatus/>
</cp:coreProperties>
</file>