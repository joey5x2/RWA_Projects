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oexz\Projects\SACCR\"/>
    </mc:Choice>
  </mc:AlternateContent>
  <xr:revisionPtr revIDLastSave="0" documentId="13_ncr:1_{DD1A5282-C06D-4371-BDF5-BA47A02C68E4}" xr6:coauthVersionLast="47" xr6:coauthVersionMax="47" xr10:uidLastSave="{00000000-0000-0000-0000-000000000000}"/>
  <bookViews>
    <workbookView xWindow="28680" yWindow="-120" windowWidth="38640" windowHeight="21120" activeTab="2" xr2:uid="{F00101E5-18A8-6D40-BD52-4005DD5BE282}"/>
  </bookViews>
  <sheets>
    <sheet name="ReadMe" sheetId="5" r:id="rId1"/>
    <sheet name="trades_inputs" sheetId="1" r:id="rId2"/>
    <sheet name="csa_inputs" sheetId="2" r:id="rId3"/>
    <sheet name="parameter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9" i="1" l="1"/>
  <c r="Y28" i="1"/>
  <c r="Y27" i="1"/>
  <c r="Y26" i="1"/>
  <c r="Y25" i="1"/>
  <c r="Y24" i="1"/>
  <c r="Y23" i="1"/>
  <c r="Y22" i="1"/>
  <c r="Y21" i="1"/>
  <c r="Y20" i="1"/>
  <c r="Y19" i="1"/>
  <c r="Y18" i="1"/>
  <c r="Y17" i="1"/>
  <c r="Y16" i="1"/>
  <c r="Y15" i="1"/>
  <c r="Y14" i="1"/>
  <c r="Y13" i="1"/>
  <c r="Y12" i="1"/>
  <c r="Y11" i="1"/>
  <c r="Y10" i="1"/>
  <c r="Y9" i="1"/>
  <c r="Y8" i="1"/>
  <c r="Y7" i="1"/>
  <c r="Y6" i="1"/>
  <c r="Y5" i="1"/>
  <c r="Y4" i="1"/>
  <c r="Y3" i="1"/>
  <c r="Y2" i="1"/>
  <c r="Y36" i="1"/>
  <c r="Y35" i="1"/>
  <c r="Y34" i="1"/>
  <c r="Y33" i="1"/>
  <c r="Y32" i="1"/>
  <c r="Y31" i="1"/>
  <c r="H23" i="1"/>
  <c r="H22" i="1"/>
</calcChain>
</file>

<file path=xl/sharedStrings.xml><?xml version="1.0" encoding="utf-8"?>
<sst xmlns="http://schemas.openxmlformats.org/spreadsheetml/2006/main" count="420" uniqueCount="130">
  <si>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</si>
  <si>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</si>
  <si>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</si>
  <si>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</si>
  <si>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</si>
  <si>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</si>
  <si>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</si>
  <si>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</si>
  <si>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</si>
  <si>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</si>
  <si>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</si>
  <si>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</si>
  <si>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</si>
  <si>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</si>
  <si>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</si>
  <si>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</si>
  <si>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</si>
  <si>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</si>
  <si>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</si>
  <si>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</si>
  <si>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</si>
  <si>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</si>
  <si>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</si>
  <si>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</si>
  <si>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</si>
  <si>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</si>
  <si>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</si>
  <si>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</si>
  <si>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</si>
  <si>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</si>
  <si>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</si>
  <si>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</si>
  <si>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</si>
  <si>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</si>
  <si>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</si>
  <si>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</si>
  <si>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</si>
  <si>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</si>
  <si>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</si>
  <si>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</si>
  <si>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</si>
  <si>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</si>
  <si>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</si>
  <si>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</si>
  <si>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</si>
  <si>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</si>
  <si>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</si>
  <si>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</si>
  <si>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</si>
  <si>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</si>
  <si>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</si>
  <si>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</si>
  <si>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</si>
  <si>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</si>
  <si>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</si>
  <si>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</si>
  <si>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</si>
  <si>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</si>
  <si>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</si>
  <si>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</si>
  <si>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</si>
  <si>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</si>
  <si>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</si>
  <si>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</si>
  <si>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</si>
  <si>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</si>
  <si>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</si>
  <si>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</si>
  <si>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</si>
  <si>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</si>
  <si>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</si>
  <si>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</si>
  <si>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</si>
  <si>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</si>
  <si>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</si>
  <si>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</si>
  <si>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</si>
  <si>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</si>
  <si>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</si>
  <si>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</si>
  <si>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</si>
  <si>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</si>
  <si>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</si>
  <si>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</si>
  <si>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</si>
  <si>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</si>
  <si>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</si>
  <si>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</si>
  <si>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</si>
  <si>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</si>
  <si>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</si>
  <si>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</si>
  <si>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</si>
  <si>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</si>
  <si>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</si>
  <si>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</si>
  <si>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</si>
  <si>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</si>
  <si>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</si>
  <si>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</si>
  <si>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</si>
  <si>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</si>
  <si>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</si>
  <si>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</si>
  <si>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</si>
  <si>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</si>
  <si>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</si>
  <si>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</si>
  <si>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</si>
  <si>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</si>
  <si>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</si>
  <si>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</si>
  <si>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</si>
  <si>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</si>
  <si>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</si>
  <si>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</si>
  <si>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</si>
  <si>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</si>
  <si>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</si>
  <si>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</si>
  <si>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</si>
  <si>
    <t>CSA_004</t>
  </si>
  <si>
    <t>MNA005</t>
  </si>
  <si>
    <t>MNA006</t>
  </si>
  <si>
    <t>COB_date</t>
  </si>
  <si>
    <t>System_end_date</t>
  </si>
  <si>
    <t>System_delta</t>
  </si>
  <si>
    <t>CSA_005</t>
  </si>
  <si>
    <t>CSA_006</t>
  </si>
  <si>
    <t>System_EAD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</si>
</sst>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0"/>
  </numFmts>
  <fonts count="12">
    <font>
      <sz val="12"/>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
      <sz val="12"/>
      <color rgb="FFFF0000"/>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37">
    <xf numFmtId="0" fontId="0" fillId="0" borderId="0" xfId="0"/>
    <xf numFmtId="2" fontId="0" fillId="2" borderId="0" xfId="1" applyNumberFormat="1" applyFont="1" applyFill="1" applyAlignment="1">
      <alignment horizontal="left" vertical="center"/>
    </xf>
    <xf numFmtId="0" fontId="8" fillId="5" borderId="0" xfId="0" applyFont="1" applyFill="1"/>
    <xf numFmtId="0" fontId="8" fillId="5" borderId="0" xfId="0"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4" fillId="0" borderId="0" xfId="0" applyFont="1" applyAlignment="1">
      <alignment horizontal="left"/>
    </xf>
    <xf numFmtId="0" fontId="0" fillId="2" borderId="0" xfId="0" applyFill="1" applyAlignment="1">
      <alignment horizontal="left"/>
    </xf>
    <xf numFmtId="0" fontId="6" fillId="2" borderId="0" xfId="0" applyFont="1" applyFill="1" applyAlignment="1">
      <alignment horizontal="left"/>
    </xf>
    <xf numFmtId="0" fontId="5"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7" fillId="2" borderId="0" xfId="0" applyFont="1" applyFill="1" applyAlignment="1">
      <alignment horizontal="left"/>
    </xf>
    <xf numFmtId="1" fontId="5" fillId="2" borderId="0" xfId="0" applyNumberFormat="1" applyFont="1" applyFill="1" applyAlignment="1">
      <alignment horizontal="left"/>
    </xf>
    <xf numFmtId="0" fontId="5"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2" fillId="2"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left"/>
    </xf>
    <xf numFmtId="0" fontId="2"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9" fillId="0" borderId="1" xfId="0" applyFont="1" applyBorder="1" applyAlignment="1">
      <alignment horizontal="left" vertical="center" wrapText="1"/>
    </xf>
    <xf numFmtId="164" fontId="0" fillId="0" borderId="0" xfId="0" applyNumberFormat="1" applyFont="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0" fontId="11" fillId="2" borderId="0" xfId="2" applyNumberFormat="1" applyFont="1" applyFill="1" applyAlignment="1">
      <alignment horizontal="left" vertical="center"/>
    </xf>
    <xf numFmtId="0" fontId="11" fillId="3" borderId="0" xfId="0" applyFont="1" applyFill="1" applyAlignment="1">
      <alignment horizontal="left"/>
    </xf>
    <xf numFmtId="14" fontId="0" fillId="0" borderId="0" xfId="0" applyNumberFormat="1" applyAlignment="1">
      <alignment horizontal="left"/>
    </xf>
    <xf numFmtId="14" fontId="11" fillId="0" borderId="0" xfId="0" applyNumberFormat="1" applyFont="1" applyAlignment="1">
      <alignment horizontal="left"/>
    </xf>
    <xf numFmtId="0" fontId="0" fillId="6" borderId="0" xfId="0" applyFill="1" applyAlignment="1">
      <alignment horizontal="left"/>
    </xf>
    <xf numFmtId="0" fontId="11" fillId="0" borderId="0" xfId="0" applyFont="1" applyAlignment="1">
      <alignment horizontal="left"/>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85" zoomScaleNormal="85"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Z36"/>
  <sheetViews>
    <sheetView zoomScale="85" zoomScaleNormal="85" workbookViewId="0">
      <selection activeCell="J36" sqref="J36"/>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2" width="11" style="13"/>
    <col min="13" max="13" width="17.33203125" style="13" customWidth="1"/>
    <col min="14" max="15" width="11" style="13"/>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ol min="22" max="22" width="19.83203125" style="13" customWidth="1"/>
    <col min="23" max="23" width="21.33203125" style="13" customWidth="1"/>
    <col min="24" max="16384" width="11" style="13"/>
  </cols>
  <sheetData>
    <row r="1" spans="1:26" s="8" customFormat="1">
      <c r="A1" s="8" t="s">
        <v>3</v>
      </c>
      <c r="B1" s="8" t="s">
        <v>5</v>
      </c>
      <c r="C1" s="8" t="s">
        <v>9</v>
      </c>
      <c r="D1" s="8" t="s">
        <v>12</v>
      </c>
      <c r="E1" s="8" t="s">
        <v>14</v>
      </c>
      <c r="F1" s="8" t="s">
        <v>17</v>
      </c>
      <c r="G1" s="8" t="s">
        <v>21</v>
      </c>
      <c r="H1" s="8" t="s">
        <v>25</v>
      </c>
      <c r="I1" s="8" t="s">
        <v>27</v>
      </c>
      <c r="J1" s="8" t="s">
        <v>29</v>
      </c>
      <c r="K1" s="8" t="s">
        <v>31</v>
      </c>
      <c r="L1" s="8" t="s">
        <v>33</v>
      </c>
      <c r="M1" s="8" t="s">
        <v>35</v>
      </c>
      <c r="N1" s="8" t="s">
        <v>37</v>
      </c>
      <c r="O1" s="8" t="s">
        <v>39</v>
      </c>
      <c r="P1" s="8" t="s">
        <v>41</v>
      </c>
      <c r="Q1" s="8" t="s">
        <v>43</v>
      </c>
      <c r="R1" s="8" t="s">
        <v>45</v>
      </c>
      <c r="S1" s="8" t="s">
        <v>47</v>
      </c>
      <c r="T1" s="8" t="s">
        <v>49</v>
      </c>
      <c r="U1" s="8" t="s">
        <v>51</v>
      </c>
      <c r="V1" s="8" t="s">
        <v>53</v>
      </c>
      <c r="W1" s="8" t="s">
        <v>55</v>
      </c>
      <c r="X1" s="8" t="s">
        <v>124</v>
      </c>
      <c r="Y1" s="8" t="s">
        <v>125</v>
      </c>
      <c r="Z1" s="8" t="s">
        <v>126</v>
      </c>
    </row>
    <row r="2" spans="1:26">
      <c r="A2" s="9" t="s">
        <v>57</v>
      </c>
      <c r="B2" s="9" t="s">
        <v>58</v>
      </c>
      <c r="C2" s="9" t="s">
        <v>59</v>
      </c>
      <c r="D2" s="9" t="s">
        <v>60</v>
      </c>
      <c r="E2" s="10" t="s">
        <v>61</v>
      </c>
      <c r="F2" s="10" t="s">
        <v>62</v>
      </c>
      <c r="G2" s="10" t="s">
        <v>62</v>
      </c>
      <c r="H2" s="11">
        <v>-11107</v>
      </c>
      <c r="I2" s="9">
        <v>9000000</v>
      </c>
      <c r="J2" s="9">
        <v>10</v>
      </c>
      <c r="K2" s="12">
        <v>0</v>
      </c>
      <c r="L2" s="12">
        <v>2353</v>
      </c>
      <c r="M2" s="9">
        <v>2353</v>
      </c>
      <c r="N2" s="9" t="b">
        <v>0</v>
      </c>
      <c r="O2" s="9"/>
      <c r="P2" s="9"/>
      <c r="Q2" s="9"/>
      <c r="R2" s="9"/>
      <c r="S2" s="9" t="b">
        <v>0</v>
      </c>
      <c r="T2" s="9"/>
      <c r="U2" s="9"/>
      <c r="V2" s="9" t="b">
        <v>0</v>
      </c>
      <c r="W2" s="9" t="b">
        <v>0</v>
      </c>
      <c r="X2" s="33">
        <v>45838</v>
      </c>
      <c r="Y2" s="33">
        <f>X2+L2</f>
        <v>48191</v>
      </c>
      <c r="Z2" s="13">
        <v>-1</v>
      </c>
    </row>
    <row r="3" spans="1:26">
      <c r="A3" s="9" t="s">
        <v>63</v>
      </c>
      <c r="B3" s="9" t="s">
        <v>58</v>
      </c>
      <c r="C3" s="9" t="s">
        <v>59</v>
      </c>
      <c r="D3" s="9" t="s">
        <v>60</v>
      </c>
      <c r="E3" s="10" t="s">
        <v>61</v>
      </c>
      <c r="F3" s="10" t="s">
        <v>62</v>
      </c>
      <c r="G3" s="10" t="s">
        <v>62</v>
      </c>
      <c r="H3" s="11">
        <v>-16660</v>
      </c>
      <c r="I3" s="9">
        <v>36000000</v>
      </c>
      <c r="J3" s="9">
        <v>10</v>
      </c>
      <c r="K3" s="12">
        <v>0</v>
      </c>
      <c r="L3" s="12">
        <v>961</v>
      </c>
      <c r="M3" s="9">
        <v>961</v>
      </c>
      <c r="N3" s="9" t="b">
        <v>0</v>
      </c>
      <c r="O3" s="9"/>
      <c r="P3" s="9"/>
      <c r="Q3" s="9"/>
      <c r="R3" s="9"/>
      <c r="S3" s="9" t="b">
        <v>0</v>
      </c>
      <c r="T3" s="9"/>
      <c r="U3" s="9"/>
      <c r="V3" s="9" t="b">
        <v>0</v>
      </c>
      <c r="W3" s="9" t="b">
        <v>0</v>
      </c>
      <c r="X3" s="33">
        <v>45838</v>
      </c>
      <c r="Y3" s="33">
        <f t="shared" ref="Y3:Y29" si="0">X3+L3</f>
        <v>46799</v>
      </c>
      <c r="Z3" s="13">
        <v>-1</v>
      </c>
    </row>
    <row r="4" spans="1:26">
      <c r="A4" s="9" t="s">
        <v>64</v>
      </c>
      <c r="B4" s="9" t="s">
        <v>58</v>
      </c>
      <c r="C4" s="9" t="s">
        <v>59</v>
      </c>
      <c r="D4" s="9" t="s">
        <v>60</v>
      </c>
      <c r="E4" s="10" t="s">
        <v>61</v>
      </c>
      <c r="F4" s="10" t="s">
        <v>62</v>
      </c>
      <c r="G4" s="10" t="s">
        <v>62</v>
      </c>
      <c r="H4" s="11">
        <v>-5553</v>
      </c>
      <c r="I4" s="9">
        <v>4000000</v>
      </c>
      <c r="J4" s="9">
        <v>10</v>
      </c>
      <c r="K4" s="12">
        <v>0</v>
      </c>
      <c r="L4" s="12">
        <v>199</v>
      </c>
      <c r="M4" s="9">
        <v>199</v>
      </c>
      <c r="N4" s="9" t="b">
        <v>0</v>
      </c>
      <c r="O4" s="9"/>
      <c r="P4" s="9"/>
      <c r="Q4" s="9"/>
      <c r="R4" s="9"/>
      <c r="S4" s="9" t="b">
        <v>0</v>
      </c>
      <c r="T4" s="9"/>
      <c r="U4" s="9"/>
      <c r="V4" s="9" t="b">
        <v>0</v>
      </c>
      <c r="W4" s="9" t="b">
        <v>0</v>
      </c>
      <c r="X4" s="33">
        <v>45838</v>
      </c>
      <c r="Y4" s="33">
        <f t="shared" si="0"/>
        <v>46037</v>
      </c>
      <c r="Z4" s="13">
        <v>-1</v>
      </c>
    </row>
    <row r="5" spans="1:26">
      <c r="A5" s="9" t="s">
        <v>65</v>
      </c>
      <c r="B5" s="9" t="s">
        <v>58</v>
      </c>
      <c r="C5" s="9" t="s">
        <v>66</v>
      </c>
      <c r="D5" s="9" t="s">
        <v>67</v>
      </c>
      <c r="E5" s="10" t="s">
        <v>68</v>
      </c>
      <c r="F5" s="10" t="s">
        <v>69</v>
      </c>
      <c r="G5" s="10" t="s">
        <v>62</v>
      </c>
      <c r="H5" s="11">
        <v>135000</v>
      </c>
      <c r="I5" s="9">
        <v>300000</v>
      </c>
      <c r="J5" s="9">
        <v>10</v>
      </c>
      <c r="K5" s="12">
        <v>0</v>
      </c>
      <c r="L5" s="12">
        <v>65</v>
      </c>
      <c r="M5" s="9">
        <v>65</v>
      </c>
      <c r="N5" s="9" t="b">
        <v>0</v>
      </c>
      <c r="O5" s="9"/>
      <c r="P5" s="9"/>
      <c r="Q5" s="9"/>
      <c r="R5" s="9"/>
      <c r="S5" s="9" t="b">
        <v>0</v>
      </c>
      <c r="T5" s="9"/>
      <c r="U5" s="9"/>
      <c r="V5" s="9" t="b">
        <v>0</v>
      </c>
      <c r="W5" s="9" t="b">
        <v>0</v>
      </c>
      <c r="X5" s="33">
        <v>45838</v>
      </c>
      <c r="Y5" s="33">
        <f t="shared" si="0"/>
        <v>45903</v>
      </c>
      <c r="Z5" s="13">
        <v>1</v>
      </c>
    </row>
    <row r="6" spans="1:26" s="16" customFormat="1">
      <c r="A6" s="9" t="s">
        <v>70</v>
      </c>
      <c r="B6" s="11" t="s">
        <v>58</v>
      </c>
      <c r="C6" s="11" t="s">
        <v>71</v>
      </c>
      <c r="D6" s="11" t="s">
        <v>67</v>
      </c>
      <c r="E6" s="14" t="s">
        <v>72</v>
      </c>
      <c r="F6" s="14" t="s">
        <v>73</v>
      </c>
      <c r="G6" s="14" t="s">
        <v>62</v>
      </c>
      <c r="H6" s="11">
        <v>70040</v>
      </c>
      <c r="I6" s="11">
        <v>760473</v>
      </c>
      <c r="J6" s="9">
        <v>10</v>
      </c>
      <c r="K6" s="15">
        <v>251</v>
      </c>
      <c r="L6" s="15">
        <v>1068</v>
      </c>
      <c r="M6" s="11">
        <v>251</v>
      </c>
      <c r="N6" s="11" t="b">
        <v>1</v>
      </c>
      <c r="O6" s="11" t="s">
        <v>74</v>
      </c>
      <c r="P6" s="11">
        <v>7.4830000000000001E-3</v>
      </c>
      <c r="Q6" s="11">
        <v>0.03</v>
      </c>
      <c r="R6" s="11">
        <v>251</v>
      </c>
      <c r="S6" s="11" t="b">
        <v>0</v>
      </c>
      <c r="T6" s="11"/>
      <c r="U6" s="11"/>
      <c r="V6" s="11" t="b">
        <v>0</v>
      </c>
      <c r="W6" s="11" t="b">
        <v>0</v>
      </c>
      <c r="X6" s="33">
        <v>45838</v>
      </c>
      <c r="Y6" s="33">
        <f t="shared" si="0"/>
        <v>46906</v>
      </c>
      <c r="Z6" s="16">
        <v>9.1521435516482105E-2</v>
      </c>
    </row>
    <row r="7" spans="1:26">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c r="X7" s="33">
        <v>45838</v>
      </c>
      <c r="Y7" s="33">
        <f t="shared" si="0"/>
        <v>45996</v>
      </c>
      <c r="Z7" s="13">
        <v>-1</v>
      </c>
    </row>
    <row r="8" spans="1:26">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c r="X8" s="33">
        <v>45838</v>
      </c>
      <c r="Y8" s="33">
        <f t="shared" si="0"/>
        <v>46058</v>
      </c>
      <c r="Z8" s="13">
        <v>-1</v>
      </c>
    </row>
    <row r="9" spans="1:26">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c r="X9" s="33">
        <v>45838</v>
      </c>
      <c r="Y9" s="33">
        <f t="shared" si="0"/>
        <v>46088</v>
      </c>
      <c r="Z9" s="13">
        <v>0.64616976667272297</v>
      </c>
    </row>
    <row r="10" spans="1:26">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c r="X10" s="33">
        <v>45838</v>
      </c>
      <c r="Y10" s="33">
        <f t="shared" si="0"/>
        <v>46088</v>
      </c>
      <c r="Z10" s="13">
        <v>-0.64616976667272297</v>
      </c>
    </row>
    <row r="11" spans="1:26">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c r="X11" s="33">
        <v>45838</v>
      </c>
      <c r="Y11" s="33">
        <f t="shared" si="0"/>
        <v>45963</v>
      </c>
      <c r="Z11" s="13">
        <v>0.59773446890843795</v>
      </c>
    </row>
    <row r="12" spans="1:26">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c r="X12" s="33">
        <v>45838</v>
      </c>
      <c r="Y12" s="33">
        <f t="shared" si="0"/>
        <v>45963</v>
      </c>
      <c r="Z12" s="13">
        <v>-1</v>
      </c>
    </row>
    <row r="13" spans="1:26">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c r="X13" s="33">
        <v>45838</v>
      </c>
      <c r="Y13" s="33">
        <f t="shared" si="0"/>
        <v>45963</v>
      </c>
      <c r="Z13" s="13">
        <v>-1</v>
      </c>
    </row>
    <row r="14" spans="1:26">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c r="X14" s="33">
        <v>45838</v>
      </c>
      <c r="Y14" s="33">
        <f t="shared" si="0"/>
        <v>45963</v>
      </c>
      <c r="Z14" s="13">
        <v>1</v>
      </c>
    </row>
    <row r="15" spans="1:26">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c r="X15" s="33">
        <v>45838</v>
      </c>
      <c r="Y15" s="33">
        <f t="shared" si="0"/>
        <v>46338</v>
      </c>
      <c r="Z15" s="13">
        <v>1</v>
      </c>
    </row>
    <row r="16" spans="1:26">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c r="X16" s="33">
        <v>45838</v>
      </c>
      <c r="Y16" s="33">
        <f t="shared" si="0"/>
        <v>48191</v>
      </c>
      <c r="Z16" s="13">
        <v>1</v>
      </c>
    </row>
    <row r="17" spans="1:26">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c r="X17" s="33">
        <v>45838</v>
      </c>
      <c r="Y17" s="33">
        <f t="shared" si="0"/>
        <v>48191</v>
      </c>
      <c r="Z17" s="13">
        <v>1</v>
      </c>
    </row>
    <row r="18" spans="1:26">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c r="X18" s="33">
        <v>45838</v>
      </c>
      <c r="Y18" s="33">
        <f t="shared" si="0"/>
        <v>48191</v>
      </c>
      <c r="Z18" s="13">
        <v>1</v>
      </c>
    </row>
    <row r="19" spans="1:26">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c r="X19" s="33">
        <v>45838</v>
      </c>
      <c r="Y19" s="33">
        <f t="shared" si="0"/>
        <v>46799</v>
      </c>
      <c r="Z19" s="13">
        <v>1</v>
      </c>
    </row>
    <row r="20" spans="1:26">
      <c r="A20" s="22" t="s">
        <v>70</v>
      </c>
      <c r="B20" s="20" t="s">
        <v>100</v>
      </c>
      <c r="C20" s="20" t="s">
        <v>59</v>
      </c>
      <c r="D20" s="20" t="s">
        <v>67</v>
      </c>
      <c r="E20" s="21" t="s">
        <v>61</v>
      </c>
      <c r="F20" s="21" t="s">
        <v>62</v>
      </c>
      <c r="G20" s="21" t="s">
        <v>62</v>
      </c>
      <c r="H20" s="20">
        <v>5553</v>
      </c>
      <c r="I20" s="20">
        <v>4000000</v>
      </c>
      <c r="J20" s="20">
        <v>40</v>
      </c>
      <c r="K20" s="20">
        <v>0</v>
      </c>
      <c r="L20" s="32">
        <v>499</v>
      </c>
      <c r="M20" s="32">
        <v>499</v>
      </c>
      <c r="N20" s="20" t="b">
        <v>0</v>
      </c>
      <c r="O20" s="20"/>
      <c r="P20" s="20"/>
      <c r="Q20" s="20"/>
      <c r="R20" s="20"/>
      <c r="S20" s="20" t="b">
        <v>0</v>
      </c>
      <c r="T20" s="20"/>
      <c r="U20" s="20"/>
      <c r="V20" s="22" t="b">
        <v>0</v>
      </c>
      <c r="W20" s="22" t="b">
        <v>0</v>
      </c>
      <c r="X20" s="33">
        <v>45838</v>
      </c>
      <c r="Y20" s="33">
        <f t="shared" si="0"/>
        <v>46337</v>
      </c>
      <c r="Z20" s="13">
        <v>1</v>
      </c>
    </row>
    <row r="21" spans="1:26">
      <c r="A21" s="22" t="s">
        <v>75</v>
      </c>
      <c r="B21" s="20" t="s">
        <v>100</v>
      </c>
      <c r="C21" s="22" t="s">
        <v>101</v>
      </c>
      <c r="D21" s="22" t="s">
        <v>60</v>
      </c>
      <c r="E21" s="22" t="s">
        <v>68</v>
      </c>
      <c r="F21" s="22" t="s">
        <v>73</v>
      </c>
      <c r="G21" s="22" t="s">
        <v>62</v>
      </c>
      <c r="H21" s="22">
        <v>-25040</v>
      </c>
      <c r="I21" s="22">
        <v>5506800</v>
      </c>
      <c r="J21" s="22">
        <v>40</v>
      </c>
      <c r="K21" s="22">
        <v>0</v>
      </c>
      <c r="L21" s="22">
        <v>250</v>
      </c>
      <c r="M21" s="22">
        <v>250</v>
      </c>
      <c r="N21" s="22" t="b">
        <v>0</v>
      </c>
      <c r="O21" s="22"/>
      <c r="P21" s="22"/>
      <c r="Q21" s="22"/>
      <c r="R21" s="22"/>
      <c r="S21" s="22" t="b">
        <v>1</v>
      </c>
      <c r="T21" s="22">
        <v>0</v>
      </c>
      <c r="U21" s="22">
        <v>0.04</v>
      </c>
      <c r="V21" s="22" t="b">
        <v>0</v>
      </c>
      <c r="W21" s="22" t="b">
        <v>0</v>
      </c>
      <c r="X21" s="33">
        <v>45838</v>
      </c>
      <c r="Y21" s="33">
        <f t="shared" si="0"/>
        <v>46088</v>
      </c>
      <c r="Z21" s="13">
        <v>-9.6153846153846096</v>
      </c>
    </row>
    <row r="22" spans="1:26">
      <c r="A22" s="9" t="s">
        <v>57</v>
      </c>
      <c r="B22" s="9" t="s">
        <v>102</v>
      </c>
      <c r="C22" s="9" t="s">
        <v>81</v>
      </c>
      <c r="D22" s="9" t="s">
        <v>67</v>
      </c>
      <c r="E22" s="10" t="s">
        <v>82</v>
      </c>
      <c r="F22" s="10" t="s">
        <v>62</v>
      </c>
      <c r="G22" s="10" t="s">
        <v>62</v>
      </c>
      <c r="H22" s="31">
        <f>813000*1.03</f>
        <v>837390</v>
      </c>
      <c r="I22" s="1">
        <v>6883500</v>
      </c>
      <c r="J22" s="9"/>
      <c r="K22" s="18">
        <v>0</v>
      </c>
      <c r="L22" s="18">
        <v>250</v>
      </c>
      <c r="M22" s="9">
        <v>250</v>
      </c>
      <c r="N22" s="9" t="b">
        <v>1</v>
      </c>
      <c r="O22" s="9" t="s">
        <v>74</v>
      </c>
      <c r="P22" s="1">
        <v>4589</v>
      </c>
      <c r="Q22" s="1">
        <v>4589</v>
      </c>
      <c r="R22" s="1">
        <v>250</v>
      </c>
      <c r="S22" s="9" t="b">
        <v>0</v>
      </c>
      <c r="T22" s="9"/>
      <c r="U22" s="9"/>
      <c r="V22" s="9" t="b">
        <v>0</v>
      </c>
      <c r="W22" s="9" t="b">
        <v>0</v>
      </c>
      <c r="X22" s="33">
        <v>45838</v>
      </c>
      <c r="Y22" s="33">
        <f t="shared" si="0"/>
        <v>46088</v>
      </c>
      <c r="Z22" s="13">
        <v>0.64616976667272297</v>
      </c>
    </row>
    <row r="23" spans="1:26">
      <c r="A23" s="9" t="s">
        <v>63</v>
      </c>
      <c r="B23" s="9" t="s">
        <v>102</v>
      </c>
      <c r="C23" s="9" t="s">
        <v>84</v>
      </c>
      <c r="D23" s="9" t="s">
        <v>67</v>
      </c>
      <c r="E23" s="10" t="s">
        <v>82</v>
      </c>
      <c r="F23" s="10" t="s">
        <v>62</v>
      </c>
      <c r="G23" s="10" t="s">
        <v>62</v>
      </c>
      <c r="H23" s="31">
        <f>-459120*1.02</f>
        <v>-468302.4</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c r="X23" s="33">
        <v>45838</v>
      </c>
      <c r="Y23" s="33">
        <f t="shared" si="0"/>
        <v>46088</v>
      </c>
      <c r="Z23" s="13">
        <v>0.64616976667272297</v>
      </c>
    </row>
    <row r="24" spans="1:26">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c r="X24" s="33">
        <v>45838</v>
      </c>
      <c r="Y24" s="33">
        <f t="shared" si="0"/>
        <v>45996</v>
      </c>
      <c r="Z24" s="13">
        <v>-1</v>
      </c>
    </row>
    <row r="25" spans="1:26">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c r="X25" s="33">
        <v>45838</v>
      </c>
      <c r="Y25" s="33">
        <f t="shared" si="0"/>
        <v>46058</v>
      </c>
      <c r="Z25" s="13">
        <v>-1</v>
      </c>
    </row>
    <row r="26" spans="1:26">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c r="X26" s="33">
        <v>45838</v>
      </c>
      <c r="Y26" s="33">
        <f t="shared" si="0"/>
        <v>46088</v>
      </c>
      <c r="Z26" s="13">
        <v>0.64616976667272297</v>
      </c>
    </row>
    <row r="27" spans="1:26">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c r="X27" s="33">
        <v>45838</v>
      </c>
      <c r="Y27" s="33">
        <f t="shared" si="0"/>
        <v>46088</v>
      </c>
      <c r="Z27" s="13">
        <v>0.64616976667272297</v>
      </c>
    </row>
    <row r="28" spans="1:26">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c r="X28" s="33">
        <v>45838</v>
      </c>
      <c r="Y28" s="33">
        <f t="shared" si="0"/>
        <v>45996</v>
      </c>
      <c r="Z28" s="13">
        <v>-1</v>
      </c>
    </row>
    <row r="29" spans="1:26">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c r="X29" s="33">
        <v>45838</v>
      </c>
      <c r="Y29" s="33">
        <f t="shared" si="0"/>
        <v>46058</v>
      </c>
      <c r="Z29" s="13">
        <v>-1</v>
      </c>
    </row>
    <row r="30" spans="1:26">
      <c r="A30" s="9" t="s">
        <v>57</v>
      </c>
      <c r="B30" s="9" t="s">
        <v>122</v>
      </c>
      <c r="C30" s="9" t="s">
        <v>118</v>
      </c>
      <c r="D30" s="9" t="s">
        <v>67</v>
      </c>
      <c r="E30" s="9" t="s">
        <v>61</v>
      </c>
      <c r="F30" s="9" t="s">
        <v>62</v>
      </c>
      <c r="G30" s="9" t="s">
        <v>62</v>
      </c>
      <c r="H30" s="9">
        <v>11107</v>
      </c>
      <c r="I30" s="9">
        <v>9000000</v>
      </c>
      <c r="J30" s="9">
        <v>40</v>
      </c>
      <c r="K30" s="9">
        <v>0</v>
      </c>
      <c r="L30" s="9">
        <v>2353</v>
      </c>
      <c r="M30" s="9">
        <v>2353</v>
      </c>
      <c r="N30" s="9" t="b">
        <v>0</v>
      </c>
      <c r="O30" s="9"/>
      <c r="P30" s="9"/>
      <c r="Q30" s="9"/>
      <c r="R30" s="9"/>
      <c r="S30" s="9" t="b">
        <v>0</v>
      </c>
      <c r="T30" s="9"/>
      <c r="U30" s="9"/>
      <c r="V30" s="9" t="b">
        <v>0</v>
      </c>
      <c r="W30" s="9" t="b">
        <v>1</v>
      </c>
      <c r="X30" s="33">
        <v>45838</v>
      </c>
      <c r="Y30" s="34">
        <v>45838</v>
      </c>
      <c r="Z30" s="13">
        <v>1</v>
      </c>
    </row>
    <row r="31" spans="1:26">
      <c r="A31" s="9" t="s">
        <v>63</v>
      </c>
      <c r="B31" s="9" t="s">
        <v>122</v>
      </c>
      <c r="C31" s="9" t="s">
        <v>59</v>
      </c>
      <c r="D31" s="9" t="s">
        <v>67</v>
      </c>
      <c r="E31" s="9" t="s">
        <v>61</v>
      </c>
      <c r="F31" s="9" t="s">
        <v>62</v>
      </c>
      <c r="G31" s="9" t="s">
        <v>62</v>
      </c>
      <c r="H31" s="9">
        <v>11107</v>
      </c>
      <c r="I31" s="9">
        <v>9000000</v>
      </c>
      <c r="J31" s="9">
        <v>40</v>
      </c>
      <c r="K31" s="9">
        <v>0</v>
      </c>
      <c r="L31" s="9">
        <v>2353</v>
      </c>
      <c r="M31" s="9">
        <v>2353</v>
      </c>
      <c r="N31" s="9" t="b">
        <v>0</v>
      </c>
      <c r="O31" s="9"/>
      <c r="P31" s="9"/>
      <c r="Q31" s="9"/>
      <c r="R31" s="9"/>
      <c r="S31" s="9" t="b">
        <v>0</v>
      </c>
      <c r="T31" s="9"/>
      <c r="U31" s="9"/>
      <c r="V31" s="9" t="b">
        <v>1</v>
      </c>
      <c r="W31" s="9" t="b">
        <v>0</v>
      </c>
      <c r="X31" s="33">
        <v>45838</v>
      </c>
      <c r="Y31" s="33">
        <f t="shared" ref="Y31:Y36" si="1">X31+L31</f>
        <v>48191</v>
      </c>
      <c r="Z31" s="13">
        <v>1</v>
      </c>
    </row>
    <row r="32" spans="1:26">
      <c r="A32" s="9" t="s">
        <v>64</v>
      </c>
      <c r="B32" s="9" t="s">
        <v>122</v>
      </c>
      <c r="C32" s="9" t="s">
        <v>59</v>
      </c>
      <c r="D32" s="9" t="s">
        <v>67</v>
      </c>
      <c r="E32" s="9" t="s">
        <v>61</v>
      </c>
      <c r="F32" s="9" t="s">
        <v>62</v>
      </c>
      <c r="G32" s="9" t="s">
        <v>62</v>
      </c>
      <c r="H32" s="9">
        <v>11107</v>
      </c>
      <c r="I32" s="9">
        <v>9000000</v>
      </c>
      <c r="J32" s="9">
        <v>40</v>
      </c>
      <c r="K32" s="9">
        <v>0</v>
      </c>
      <c r="L32" s="9">
        <v>2353</v>
      </c>
      <c r="M32" s="9">
        <v>2353</v>
      </c>
      <c r="N32" s="9" t="b">
        <v>0</v>
      </c>
      <c r="O32" s="9"/>
      <c r="P32" s="9"/>
      <c r="Q32" s="9"/>
      <c r="R32" s="9"/>
      <c r="S32" s="9" t="b">
        <v>0</v>
      </c>
      <c r="T32" s="9"/>
      <c r="U32" s="9"/>
      <c r="V32" s="9" t="b">
        <v>0</v>
      </c>
      <c r="W32" s="9" t="b">
        <v>0</v>
      </c>
      <c r="X32" s="33">
        <v>45838</v>
      </c>
      <c r="Y32" s="33">
        <f t="shared" si="1"/>
        <v>48191</v>
      </c>
      <c r="Z32" s="13">
        <v>1</v>
      </c>
    </row>
    <row r="33" spans="1:26">
      <c r="A33" s="9" t="s">
        <v>65</v>
      </c>
      <c r="B33" s="9" t="s">
        <v>122</v>
      </c>
      <c r="C33" s="9" t="s">
        <v>59</v>
      </c>
      <c r="D33" s="9" t="s">
        <v>67</v>
      </c>
      <c r="E33" s="9" t="s">
        <v>61</v>
      </c>
      <c r="F33" s="9" t="s">
        <v>62</v>
      </c>
      <c r="G33" s="9" t="s">
        <v>62</v>
      </c>
      <c r="H33" s="9">
        <v>16660</v>
      </c>
      <c r="I33" s="9">
        <v>36000000</v>
      </c>
      <c r="J33" s="9">
        <v>40</v>
      </c>
      <c r="K33" s="9">
        <v>0</v>
      </c>
      <c r="L33" s="9">
        <v>961</v>
      </c>
      <c r="M33" s="9">
        <v>961</v>
      </c>
      <c r="N33" s="9" t="b">
        <v>0</v>
      </c>
      <c r="O33" s="9"/>
      <c r="P33" s="9"/>
      <c r="Q33" s="9"/>
      <c r="R33" s="9"/>
      <c r="S33" s="9" t="b">
        <v>0</v>
      </c>
      <c r="T33" s="9"/>
      <c r="U33" s="9"/>
      <c r="V33" s="9" t="b">
        <v>0</v>
      </c>
      <c r="W33" s="9" t="b">
        <v>0</v>
      </c>
      <c r="X33" s="33">
        <v>45838</v>
      </c>
      <c r="Y33" s="33">
        <f t="shared" si="1"/>
        <v>46799</v>
      </c>
      <c r="Z33" s="13">
        <v>1</v>
      </c>
    </row>
    <row r="34" spans="1:26">
      <c r="A34" s="9" t="s">
        <v>70</v>
      </c>
      <c r="B34" s="9" t="s">
        <v>122</v>
      </c>
      <c r="C34" s="9" t="s">
        <v>59</v>
      </c>
      <c r="D34" s="9" t="s">
        <v>67</v>
      </c>
      <c r="E34" s="9" t="s">
        <v>61</v>
      </c>
      <c r="F34" s="9" t="s">
        <v>62</v>
      </c>
      <c r="G34" s="9" t="s">
        <v>62</v>
      </c>
      <c r="H34" s="9">
        <v>5553</v>
      </c>
      <c r="I34" s="9">
        <v>4000000</v>
      </c>
      <c r="J34" s="9">
        <v>40</v>
      </c>
      <c r="K34" s="9">
        <v>0</v>
      </c>
      <c r="L34" s="9">
        <v>199</v>
      </c>
      <c r="M34" s="9">
        <v>199</v>
      </c>
      <c r="N34" s="9" t="b">
        <v>0</v>
      </c>
      <c r="O34" s="9"/>
      <c r="P34" s="9"/>
      <c r="Q34" s="9"/>
      <c r="R34" s="9"/>
      <c r="S34" s="9" t="b">
        <v>0</v>
      </c>
      <c r="T34" s="9"/>
      <c r="U34" s="9"/>
      <c r="V34" s="9" t="b">
        <v>0</v>
      </c>
      <c r="W34" s="9" t="b">
        <v>0</v>
      </c>
      <c r="X34" s="33">
        <v>45838</v>
      </c>
      <c r="Y34" s="33">
        <f t="shared" si="1"/>
        <v>46037</v>
      </c>
      <c r="Z34" s="13">
        <v>1</v>
      </c>
    </row>
    <row r="35" spans="1:26">
      <c r="A35" s="9" t="s">
        <v>75</v>
      </c>
      <c r="B35" s="9" t="s">
        <v>122</v>
      </c>
      <c r="C35" s="9" t="s">
        <v>101</v>
      </c>
      <c r="D35" s="9" t="s">
        <v>60</v>
      </c>
      <c r="E35" s="9" t="s">
        <v>68</v>
      </c>
      <c r="F35" s="9" t="s">
        <v>73</v>
      </c>
      <c r="G35" s="9" t="s">
        <v>62</v>
      </c>
      <c r="H35" s="9">
        <v>-25040</v>
      </c>
      <c r="I35" s="9">
        <v>5506800</v>
      </c>
      <c r="J35" s="9">
        <v>40</v>
      </c>
      <c r="K35" s="9">
        <v>0</v>
      </c>
      <c r="L35" s="9">
        <v>250</v>
      </c>
      <c r="M35" s="9">
        <v>250</v>
      </c>
      <c r="N35" s="9" t="b">
        <v>0</v>
      </c>
      <c r="O35" s="9"/>
      <c r="P35" s="9"/>
      <c r="Q35" s="9"/>
      <c r="R35" s="9"/>
      <c r="S35" s="9" t="b">
        <v>1</v>
      </c>
      <c r="T35" s="9">
        <v>0</v>
      </c>
      <c r="U35" s="9">
        <v>0.04</v>
      </c>
      <c r="V35" s="9" t="b">
        <v>0</v>
      </c>
      <c r="W35" s="9" t="b">
        <v>0</v>
      </c>
      <c r="X35" s="33">
        <v>45838</v>
      </c>
      <c r="Y35" s="33">
        <f t="shared" si="1"/>
        <v>46088</v>
      </c>
      <c r="Z35" s="13">
        <v>-9.6153846153846096</v>
      </c>
    </row>
    <row r="36" spans="1:26">
      <c r="A36" s="35" t="s">
        <v>57</v>
      </c>
      <c r="B36" s="35" t="s">
        <v>123</v>
      </c>
      <c r="C36" s="35" t="s">
        <v>84</v>
      </c>
      <c r="D36" s="35" t="s">
        <v>60</v>
      </c>
      <c r="E36" s="35" t="s">
        <v>82</v>
      </c>
      <c r="F36" s="35" t="s">
        <v>62</v>
      </c>
      <c r="G36" s="35" t="s">
        <v>62</v>
      </c>
      <c r="H36" s="35">
        <v>-459120</v>
      </c>
      <c r="I36" s="35">
        <v>5139168</v>
      </c>
      <c r="J36" s="35">
        <v>10</v>
      </c>
      <c r="K36" s="35">
        <v>0</v>
      </c>
      <c r="L36" s="35">
        <v>250</v>
      </c>
      <c r="M36" s="35">
        <v>250</v>
      </c>
      <c r="N36" s="35" t="b">
        <v>1</v>
      </c>
      <c r="O36" s="35" t="s">
        <v>74</v>
      </c>
      <c r="P36" s="35">
        <v>4282.6400000000003</v>
      </c>
      <c r="Q36" s="35">
        <v>4282.6400000000003</v>
      </c>
      <c r="R36" s="35">
        <v>250</v>
      </c>
      <c r="S36" s="35" t="b">
        <v>0</v>
      </c>
      <c r="T36" s="35"/>
      <c r="U36" s="35"/>
      <c r="V36" s="35" t="b">
        <v>0</v>
      </c>
      <c r="W36" s="35" t="b">
        <v>0</v>
      </c>
      <c r="X36" s="33">
        <v>45838</v>
      </c>
      <c r="Y36" s="33">
        <f t="shared" si="1"/>
        <v>46088</v>
      </c>
      <c r="Z36" s="36">
        <v>-3</v>
      </c>
    </row>
  </sheetData>
  <phoneticPr fontId="1"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H7"/>
  <sheetViews>
    <sheetView tabSelected="1" zoomScale="115" zoomScaleNormal="115" workbookViewId="0">
      <selection activeCell="I11" sqref="I11"/>
    </sheetView>
  </sheetViews>
  <sheetFormatPr defaultColWidth="11" defaultRowHeight="15.5"/>
  <cols>
    <col min="1" max="2" width="11" style="13"/>
    <col min="3" max="3" width="26.5" style="13" customWidth="1"/>
    <col min="4" max="16384" width="11" style="13"/>
  </cols>
  <sheetData>
    <row r="1" spans="1:8">
      <c r="A1" s="8" t="s">
        <v>5</v>
      </c>
      <c r="B1" s="8" t="s">
        <v>7</v>
      </c>
      <c r="C1" s="8" t="s">
        <v>10</v>
      </c>
      <c r="D1" s="8" t="s">
        <v>13</v>
      </c>
      <c r="E1" s="8" t="s">
        <v>16</v>
      </c>
      <c r="F1" s="8" t="s">
        <v>19</v>
      </c>
      <c r="G1" s="8" t="s">
        <v>23</v>
      </c>
      <c r="H1" s="13" t="s">
        <v>129</v>
      </c>
    </row>
    <row r="2" spans="1:8">
      <c r="A2" s="9" t="s">
        <v>58</v>
      </c>
      <c r="B2" s="9" t="s">
        <v>104</v>
      </c>
      <c r="C2" s="9" t="s">
        <v>105</v>
      </c>
      <c r="D2" s="9">
        <v>853000</v>
      </c>
      <c r="E2" s="30">
        <v>300000</v>
      </c>
      <c r="F2" s="9">
        <v>0</v>
      </c>
      <c r="G2" s="9">
        <v>0</v>
      </c>
      <c r="H2" s="13">
        <v>1366947.4159262599</v>
      </c>
    </row>
    <row r="3" spans="1:8">
      <c r="A3" s="26" t="s">
        <v>100</v>
      </c>
      <c r="B3" s="26" t="s">
        <v>106</v>
      </c>
      <c r="C3" s="26" t="s">
        <v>105</v>
      </c>
      <c r="D3" s="26">
        <v>11000</v>
      </c>
      <c r="E3" s="26">
        <v>10000</v>
      </c>
      <c r="F3" s="26">
        <v>0</v>
      </c>
      <c r="G3" s="26">
        <v>0</v>
      </c>
      <c r="H3" s="13">
        <v>2923998.8877446498</v>
      </c>
    </row>
    <row r="4" spans="1:8">
      <c r="A4" s="9" t="s">
        <v>102</v>
      </c>
      <c r="B4" s="9" t="s">
        <v>107</v>
      </c>
      <c r="C4" s="9" t="s">
        <v>108</v>
      </c>
      <c r="D4" s="9">
        <v>110000</v>
      </c>
      <c r="E4" s="9"/>
      <c r="F4" s="9"/>
      <c r="G4" s="9"/>
      <c r="H4" s="13">
        <v>2325316.32239703</v>
      </c>
    </row>
    <row r="5" spans="1:8">
      <c r="A5" s="20" t="s">
        <v>103</v>
      </c>
      <c r="B5" s="20" t="s">
        <v>121</v>
      </c>
      <c r="C5" s="20" t="s">
        <v>105</v>
      </c>
      <c r="D5" s="20">
        <v>110000</v>
      </c>
      <c r="E5" s="20">
        <v>200000</v>
      </c>
      <c r="F5" s="20">
        <v>0</v>
      </c>
      <c r="G5" s="20">
        <v>0</v>
      </c>
      <c r="H5" s="13">
        <v>637373.53990790097</v>
      </c>
    </row>
    <row r="6" spans="1:8">
      <c r="A6" s="9" t="s">
        <v>122</v>
      </c>
      <c r="B6" s="9" t="s">
        <v>127</v>
      </c>
      <c r="C6" s="9" t="s">
        <v>105</v>
      </c>
      <c r="D6" s="9">
        <v>11000</v>
      </c>
      <c r="E6" s="9">
        <v>10000</v>
      </c>
      <c r="F6" s="9">
        <v>0</v>
      </c>
      <c r="G6" s="9">
        <v>0</v>
      </c>
      <c r="H6" s="13">
        <v>2901185.2370846602</v>
      </c>
    </row>
    <row r="7" spans="1:8">
      <c r="A7" s="20" t="s">
        <v>123</v>
      </c>
      <c r="B7" s="20" t="s">
        <v>128</v>
      </c>
      <c r="C7" s="20" t="s">
        <v>105</v>
      </c>
      <c r="D7" s="20">
        <v>426500</v>
      </c>
      <c r="E7" s="20">
        <v>650000</v>
      </c>
      <c r="F7" s="20">
        <v>0</v>
      </c>
      <c r="G7" s="20">
        <v>0</v>
      </c>
      <c r="H7" s="13">
        <v>18534.7492476015</v>
      </c>
    </row>
  </sheetData>
  <phoneticPr fontId="1" type="noConversion"/>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zoomScale="85" zoomScaleNormal="85" workbookViewId="0">
      <selection activeCell="C19" sqref="C19"/>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trades_inputs</vt:lpstr>
      <vt:lpstr>csa_inputs</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joe z</cp:lastModifiedBy>
  <cp:revision/>
  <dcterms:created xsi:type="dcterms:W3CDTF">2023-09-22T14:25:12Z</dcterms:created>
  <dcterms:modified xsi:type="dcterms:W3CDTF">2026-01-26T21:35:04Z</dcterms:modified>
  <cp:category/>
  <cp:contentStatus/>
</cp:coreProperties>
</file>