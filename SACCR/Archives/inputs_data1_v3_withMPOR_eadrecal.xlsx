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MT694HY\Downloads\"/>
    </mc:Choice>
  </mc:AlternateContent>
  <xr:revisionPtr revIDLastSave="0" documentId="13_ncr:1_{82EC2276-394B-4160-AF2D-A71EAC0010F4}" xr6:coauthVersionLast="47" xr6:coauthVersionMax="47" xr10:uidLastSave="{00000000-0000-0000-0000-000000000000}"/>
  <bookViews>
    <workbookView xWindow="-15" yWindow="-16320" windowWidth="29040" windowHeight="15720" activeTab="1" xr2:uid="{F00101E5-18A8-6D40-BD52-4005DD5BE282}"/>
  </bookViews>
  <sheets>
    <sheet name="ReadMe" sheetId="5" r:id="rId1"/>
    <sheet name="trades_inputs" sheetId="1" r:id="rId2"/>
    <sheet name="csa_inputs" sheetId="2" r:id="rId3"/>
    <sheet name="parameters" sheetId="4" r:id="rId4"/>
    <sheet name="MPOR matrix" sheetId="7" r:id="rId5"/>
    <sheet name="MNA006" sheetId="8"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1" i="8" l="1"/>
  <c r="H10" i="8"/>
  <c r="H9" i="8"/>
  <c r="H8" i="8"/>
  <c r="E8" i="8"/>
  <c r="H7" i="8"/>
  <c r="H6" i="8"/>
  <c r="H5" i="8"/>
  <c r="H4" i="8"/>
  <c r="E4" i="8"/>
  <c r="H3" i="8"/>
  <c r="E3" i="8"/>
  <c r="H2" i="8"/>
  <c r="E10" i="8"/>
  <c r="E7" i="8"/>
  <c r="E6" i="8"/>
  <c r="E5" i="8"/>
  <c r="E9" i="8" s="1"/>
  <c r="E11" i="8" s="1"/>
  <c r="B25" i="8"/>
  <c r="A3" i="7"/>
  <c r="A4" i="7"/>
  <c r="A5" i="7"/>
  <c r="A6" i="7"/>
  <c r="A7" i="7"/>
  <c r="A8" i="7"/>
  <c r="A9" i="7"/>
  <c r="A10" i="7"/>
  <c r="A11" i="7"/>
  <c r="A12" i="7"/>
  <c r="A13" i="7"/>
  <c r="A14" i="7"/>
  <c r="A15" i="7"/>
  <c r="A16" i="7"/>
  <c r="A17" i="7"/>
  <c r="A18" i="7"/>
  <c r="A19" i="7"/>
  <c r="A20" i="7"/>
  <c r="A21" i="7"/>
  <c r="A22" i="7"/>
  <c r="A23" i="7"/>
  <c r="A24" i="7"/>
  <c r="A25" i="7"/>
  <c r="A26" i="7"/>
  <c r="A27" i="7"/>
  <c r="A28" i="7"/>
  <c r="A29" i="7"/>
  <c r="A30" i="7"/>
  <c r="A31" i="7"/>
  <c r="A32" i="7"/>
  <c r="A33" i="7"/>
  <c r="A34" i="7"/>
  <c r="A35" i="7"/>
  <c r="A36" i="7"/>
  <c r="A37" i="7"/>
  <c r="A38" i="7"/>
  <c r="A39" i="7"/>
  <c r="A40" i="7"/>
  <c r="A41" i="7"/>
  <c r="A42" i="7"/>
  <c r="A43" i="7"/>
  <c r="A44" i="7"/>
  <c r="A45" i="7"/>
  <c r="A46" i="7"/>
  <c r="A47" i="7"/>
  <c r="A48" i="7"/>
  <c r="A49" i="7"/>
  <c r="A50" i="7"/>
  <c r="A51" i="7"/>
  <c r="A52" i="7"/>
  <c r="A53" i="7"/>
  <c r="A54" i="7"/>
  <c r="A55" i="7"/>
  <c r="A56" i="7"/>
  <c r="A57" i="7"/>
  <c r="A58" i="7"/>
  <c r="A59" i="7"/>
  <c r="A60" i="7"/>
  <c r="A61" i="7"/>
  <c r="A62" i="7"/>
  <c r="A63" i="7"/>
  <c r="A64" i="7"/>
  <c r="A65" i="7"/>
  <c r="A66" i="7"/>
  <c r="A67" i="7"/>
  <c r="A68" i="7"/>
  <c r="A69" i="7"/>
  <c r="A70" i="7"/>
  <c r="A71" i="7"/>
  <c r="A72" i="7"/>
  <c r="A73" i="7"/>
  <c r="A74" i="7"/>
  <c r="A75" i="7"/>
  <c r="A76" i="7"/>
  <c r="A77" i="7"/>
  <c r="A78" i="7"/>
  <c r="A79" i="7"/>
  <c r="A80" i="7"/>
  <c r="A81" i="7"/>
  <c r="A82" i="7"/>
  <c r="A83" i="7"/>
  <c r="A84" i="7"/>
  <c r="A85" i="7"/>
  <c r="A86" i="7"/>
  <c r="A87" i="7"/>
  <c r="A88" i="7"/>
  <c r="A89" i="7"/>
  <c r="A90" i="7"/>
  <c r="A91" i="7"/>
  <c r="A92" i="7"/>
  <c r="A93" i="7"/>
  <c r="A94" i="7"/>
  <c r="A95" i="7"/>
  <c r="A96" i="7"/>
  <c r="A97" i="7"/>
  <c r="A98" i="7"/>
  <c r="A99" i="7"/>
  <c r="A100" i="7"/>
  <c r="A101" i="7"/>
  <c r="A102" i="7"/>
  <c r="A103" i="7"/>
  <c r="A104" i="7"/>
  <c r="A105" i="7"/>
  <c r="A106" i="7"/>
  <c r="A107" i="7"/>
  <c r="A108" i="7"/>
  <c r="A109" i="7"/>
  <c r="A110" i="7"/>
  <c r="A111" i="7"/>
  <c r="A112" i="7"/>
  <c r="A113" i="7"/>
  <c r="A114" i="7"/>
  <c r="A115" i="7"/>
  <c r="A116" i="7"/>
  <c r="A117" i="7"/>
  <c r="A118" i="7"/>
  <c r="A119" i="7"/>
  <c r="A120" i="7"/>
  <c r="A121" i="7"/>
  <c r="A122" i="7"/>
  <c r="A123" i="7"/>
  <c r="A124" i="7"/>
  <c r="A125" i="7"/>
  <c r="A126" i="7"/>
  <c r="A127" i="7"/>
  <c r="A128" i="7"/>
  <c r="A129" i="7"/>
  <c r="A130" i="7"/>
  <c r="A131" i="7"/>
  <c r="A132" i="7"/>
  <c r="A133" i="7"/>
  <c r="A134" i="7"/>
  <c r="A135" i="7"/>
  <c r="A136" i="7"/>
  <c r="A137" i="7"/>
  <c r="A138" i="7"/>
  <c r="A139" i="7"/>
  <c r="A140" i="7"/>
  <c r="A141" i="7"/>
  <c r="A142" i="7"/>
  <c r="A143" i="7"/>
  <c r="A144" i="7"/>
  <c r="A145" i="7"/>
  <c r="A146" i="7"/>
  <c r="A147" i="7"/>
  <c r="A148" i="7"/>
  <c r="A149" i="7"/>
  <c r="A150" i="7"/>
  <c r="A151" i="7"/>
  <c r="A152" i="7"/>
  <c r="A153" i="7"/>
  <c r="A154" i="7"/>
  <c r="A155" i="7"/>
  <c r="A156" i="7"/>
  <c r="A157" i="7"/>
  <c r="A158" i="7"/>
  <c r="A159" i="7"/>
  <c r="A160" i="7"/>
  <c r="A161" i="7"/>
  <c r="A162" i="7"/>
  <c r="A163" i="7"/>
  <c r="A164" i="7"/>
  <c r="A165" i="7"/>
  <c r="A166" i="7"/>
  <c r="A167" i="7"/>
  <c r="A168" i="7"/>
  <c r="A169" i="7"/>
  <c r="A170" i="7"/>
  <c r="A171" i="7"/>
  <c r="A172" i="7"/>
  <c r="A173" i="7"/>
  <c r="A174" i="7"/>
  <c r="A175" i="7"/>
  <c r="A176" i="7"/>
  <c r="A177" i="7"/>
  <c r="A178" i="7"/>
  <c r="A179" i="7"/>
  <c r="A180" i="7"/>
  <c r="A181" i="7"/>
  <c r="A182" i="7"/>
  <c r="A183" i="7"/>
  <c r="A184" i="7"/>
  <c r="A185" i="7"/>
  <c r="A186" i="7"/>
  <c r="A187" i="7"/>
  <c r="A188" i="7"/>
  <c r="A189" i="7"/>
  <c r="A190" i="7"/>
  <c r="A191" i="7"/>
  <c r="A192" i="7"/>
  <c r="A193" i="7"/>
  <c r="A194" i="7"/>
  <c r="A195" i="7"/>
  <c r="A196" i="7"/>
  <c r="A197" i="7"/>
  <c r="A198" i="7"/>
  <c r="A199" i="7"/>
  <c r="A200" i="7"/>
  <c r="A201" i="7"/>
  <c r="A202" i="7"/>
  <c r="A203" i="7"/>
  <c r="A204" i="7"/>
  <c r="A205" i="7"/>
  <c r="A206" i="7"/>
  <c r="A207" i="7"/>
  <c r="A208" i="7"/>
  <c r="A209" i="7"/>
  <c r="A210" i="7"/>
  <c r="A211" i="7"/>
  <c r="A212" i="7"/>
  <c r="A213" i="7"/>
  <c r="A214" i="7"/>
  <c r="A215" i="7"/>
  <c r="A216" i="7"/>
  <c r="A217" i="7"/>
  <c r="A218" i="7"/>
  <c r="A219" i="7"/>
  <c r="A220" i="7"/>
  <c r="A221" i="7"/>
  <c r="A222" i="7"/>
  <c r="A223" i="7"/>
  <c r="A224" i="7"/>
  <c r="A225" i="7"/>
  <c r="A2" i="7"/>
  <c r="Y42" i="1"/>
  <c r="Y41" i="1"/>
  <c r="Y40" i="1"/>
  <c r="Y39" i="1"/>
  <c r="Y38" i="1"/>
  <c r="Y36" i="1"/>
  <c r="Y31" i="1"/>
  <c r="Y32" i="1"/>
  <c r="Y33" i="1"/>
  <c r="Y34" i="1"/>
  <c r="Y35" i="1"/>
  <c r="Y3" i="1"/>
  <c r="Y4" i="1"/>
  <c r="Y5" i="1"/>
  <c r="Y6" i="1"/>
  <c r="Y7" i="1"/>
  <c r="Y8" i="1"/>
  <c r="Y9" i="1"/>
  <c r="Y10" i="1"/>
  <c r="Y11" i="1"/>
  <c r="Y12" i="1"/>
  <c r="Y13" i="1"/>
  <c r="Y14" i="1"/>
  <c r="Y15" i="1"/>
  <c r="Y16" i="1"/>
  <c r="Y17" i="1"/>
  <c r="Y18" i="1"/>
  <c r="Y19" i="1"/>
  <c r="Y20" i="1"/>
  <c r="Y21" i="1"/>
  <c r="Y22" i="1"/>
  <c r="Y23" i="1"/>
  <c r="Y24" i="1"/>
  <c r="Y25" i="1"/>
  <c r="Y26" i="1"/>
  <c r="Y27" i="1"/>
  <c r="Y28" i="1"/>
  <c r="Y29" i="1"/>
  <c r="Y2" i="1"/>
</calcChain>
</file>

<file path=xl/sharedStrings.xml><?xml version="1.0" encoding="utf-8"?>
<sst xmlns="http://schemas.openxmlformats.org/spreadsheetml/2006/main" count="1866" uniqueCount="151">
  <si>
    <t>Trade inputs headers</t>
  </si>
  <si>
    <t>Description</t>
  </si>
  <si>
    <t>CSA inputs headers</t>
  </si>
  <si>
    <t>Trade_ID</t>
  </si>
  <si>
    <t>Trade ID</t>
  </si>
  <si>
    <t>Netting_ID</t>
  </si>
  <si>
    <t>Netting Set ID</t>
  </si>
  <si>
    <t>Margin_ID</t>
  </si>
  <si>
    <t>Margin Agreement ID</t>
  </si>
  <si>
    <t>Underlying_ticker</t>
  </si>
  <si>
    <t>Margin_status</t>
  </si>
  <si>
    <t>Please type in "Margined" or "Unmargined"</t>
  </si>
  <si>
    <t>Long_Short</t>
  </si>
  <si>
    <t>NICA</t>
  </si>
  <si>
    <t>Asset_class</t>
  </si>
  <si>
    <t>Asset class of underlying ticker (select on from parameters tab Asset_class column)</t>
  </si>
  <si>
    <t>VM</t>
  </si>
  <si>
    <t>Category</t>
  </si>
  <si>
    <t>Asset category of underlying ticker (select on from parameters tab Category column)</t>
  </si>
  <si>
    <t>VMT</t>
  </si>
  <si>
    <t>Variation margin threshold. Leave it empty if not applicatble.</t>
  </si>
  <si>
    <t>Type</t>
  </si>
  <si>
    <t>Asset type of underlying ticker (select on from parameters tab Type column)</t>
  </si>
  <si>
    <t>MTA</t>
  </si>
  <si>
    <t>Minimum transfer amount. Leave it empty if not applicatble.</t>
  </si>
  <si>
    <t>Market_value</t>
  </si>
  <si>
    <t>Markte value of this trade (negative value for short)</t>
  </si>
  <si>
    <t>Trade_notional</t>
  </si>
  <si>
    <t>Notional of the trade</t>
  </si>
  <si>
    <t>MPOR</t>
  </si>
  <si>
    <t>Market Period of Risk (business days). Leave it empty if not applicatble.</t>
  </si>
  <si>
    <t>start_date</t>
  </si>
  <si>
    <t>the number of business days from the present day until the start date of the derivative contract, or zero if the start date has already passed.</t>
  </si>
  <si>
    <t>end_date</t>
  </si>
  <si>
    <t>the number of business days from the present day until the end date of the derivative contract.</t>
  </si>
  <si>
    <t>Maturity</t>
  </si>
  <si>
    <t>Maturity of the derivative contract (business days)</t>
  </si>
  <si>
    <t>is_option</t>
  </si>
  <si>
    <t xml:space="preserve">Please type in "TRUE" or "FALSE" to indicate if this trade is on options </t>
  </si>
  <si>
    <t>Call_Put</t>
  </si>
  <si>
    <t>Please type in "Call" or "Put" for an options trade</t>
  </si>
  <si>
    <t>Underlying_price</t>
  </si>
  <si>
    <t>Underlying price of options trades in USD. Leave it empty if not applicatble.</t>
  </si>
  <si>
    <t>Strike_price</t>
  </si>
  <si>
    <t>Strike price of options trades in USD. Leave it empty if not applicatble.</t>
  </si>
  <si>
    <t>Option_maturity</t>
  </si>
  <si>
    <t>Maturity of options trades (business days). Leave it empty if not applicatble.</t>
  </si>
  <si>
    <t>is_CDO_tranches</t>
  </si>
  <si>
    <t xml:space="preserve">Please type in "TRUE" or "FALSE" to indicate if this trade is on CDO </t>
  </si>
  <si>
    <t>Attachment_Point</t>
  </si>
  <si>
    <t>Please type in attachment point for an CDO trade (for example: 0.02). Leave it empty if not applicatble.</t>
  </si>
  <si>
    <t>Detachment_Point</t>
  </si>
  <si>
    <t>Please type in detachment point for an CDO trade (for example: 0.035). Leave it empty if not applicatble.</t>
  </si>
  <si>
    <t>is_volatility_trade</t>
  </si>
  <si>
    <t>Please type in "TRUE" or "FALSE" to indicate if this trade is a volatility trade on the underlying ticker</t>
  </si>
  <si>
    <t>is_basis_trade</t>
  </si>
  <si>
    <t>Please type in "TRUE" or "FALSE" to indicate if this trade is a basis trade on the underlying ticker</t>
  </si>
  <si>
    <t>Trade_001</t>
  </si>
  <si>
    <t>MNA001</t>
  </si>
  <si>
    <t>USD</t>
  </si>
  <si>
    <t>Short</t>
  </si>
  <si>
    <t>Interest rate</t>
  </si>
  <si>
    <t>N/A</t>
  </si>
  <si>
    <t>Trade_002</t>
  </si>
  <si>
    <t>Trade_003</t>
  </si>
  <si>
    <t>Trade_004</t>
  </si>
  <si>
    <t>CD:1485537</t>
  </si>
  <si>
    <t>Long</t>
  </si>
  <si>
    <t>Credit, single name</t>
  </si>
  <si>
    <t>Investment grade</t>
  </si>
  <si>
    <t>Trade_005</t>
  </si>
  <si>
    <t>CD:index 119</t>
  </si>
  <si>
    <t>Credit, index</t>
  </si>
  <si>
    <t>Speculative grade</t>
  </si>
  <si>
    <t>Call</t>
  </si>
  <si>
    <t>Trade_006</t>
  </si>
  <si>
    <t>AUD_USD</t>
  </si>
  <si>
    <t>Exchange rate</t>
  </si>
  <si>
    <t>Trade_007</t>
  </si>
  <si>
    <t>CAD_USD</t>
  </si>
  <si>
    <t>Trade_008</t>
  </si>
  <si>
    <t>SP500</t>
  </si>
  <si>
    <t>Equity, index</t>
  </si>
  <si>
    <t>Trade_009</t>
  </si>
  <si>
    <t>STOXX50</t>
  </si>
  <si>
    <t>Trade_010</t>
  </si>
  <si>
    <t>Henry Hub</t>
  </si>
  <si>
    <t>Commodity</t>
  </si>
  <si>
    <t>Energy</t>
  </si>
  <si>
    <t>Other</t>
  </si>
  <si>
    <t>Trade_011</t>
  </si>
  <si>
    <t>Electricity</t>
  </si>
  <si>
    <t>Trade_012</t>
  </si>
  <si>
    <t>Cattle</t>
  </si>
  <si>
    <t>Trade_013</t>
  </si>
  <si>
    <t>Soybean</t>
  </si>
  <si>
    <t>Agricultural</t>
  </si>
  <si>
    <t>Trade_014</t>
  </si>
  <si>
    <t>Gold</t>
  </si>
  <si>
    <t>Metals</t>
  </si>
  <si>
    <t>MNA002</t>
  </si>
  <si>
    <t>AP_CDO_equity_tranche</t>
  </si>
  <si>
    <t>MNA003</t>
  </si>
  <si>
    <t>MNA004</t>
  </si>
  <si>
    <t>CSA_001</t>
  </si>
  <si>
    <t>Margined</t>
  </si>
  <si>
    <t>CSA_002</t>
  </si>
  <si>
    <t>CSA_003</t>
  </si>
  <si>
    <t>Unmargined</t>
  </si>
  <si>
    <t>Option_volatility</t>
  </si>
  <si>
    <t>Correlation_factor</t>
  </si>
  <si>
    <t>Supervisory_factor</t>
  </si>
  <si>
    <t>Sub-speculative grade</t>
  </si>
  <si>
    <t>Equity, single name</t>
  </si>
  <si>
    <t>2) One netting set can only link to one CSA</t>
  </si>
  <si>
    <t>Please type in "Long" or "Short"
For CDO products, "Long" indicates purchasing credit protection and "Short" indicates selling credit protection.</t>
  </si>
  <si>
    <t>1) All currency unit is in US dollar ($)</t>
  </si>
  <si>
    <t>The risk driver of the trade:
1) For equity, please type in the reference entity like "SP500", "AAPL" etc. 
2) For credit, please type in the reference entity of issuer like "BA", "MS" etc.
3) For interest rate: please type in the reference currency like "USD", "JPY" etc.
4) For FX, please type in the reference currency pair like "USD_CAD", "USD_JPY" etc. Please keep the format consistent through all FX trades.
5) For commodity, please type in commodity type like "Crude Oil", "Natural Gas", "AU", "Sugar" etc.
6) For volatility based trade, please type in the underlying ticker on which volatility contract is based on  and in the same way as 1) to 5). Like "SP500", "USD" etc.
7) For basis trade, please type in the corresponding basis pair, like "USD1y_USD3m"</t>
  </si>
  <si>
    <t>USD1y_USD3m</t>
  </si>
  <si>
    <t>Net independent collateral amount (NICA). NICA represents any collateral (segregated or unsegregated) posted by the counterparty less the unsegregated collateral posted by the bank. The input amount is assumed to be post haircut if any.</t>
  </si>
  <si>
    <t>Net variation margin amount, where the amount received by the bank is accounted with a positive sign and the amount posted by the bank is accounted with a negative sign. Leave it empty if not applicatble. The input amount is assumed to be post haircut if any.</t>
  </si>
  <si>
    <t>CSA_004</t>
  </si>
  <si>
    <t>COB_date</t>
  </si>
  <si>
    <t>System_end_date</t>
  </si>
  <si>
    <t>MNA005</t>
  </si>
  <si>
    <t>System_delta</t>
  </si>
  <si>
    <t>MNA006</t>
  </si>
  <si>
    <t>CSA_006</t>
  </si>
  <si>
    <t>CSA_005</t>
  </si>
  <si>
    <t>System_EAD</t>
  </si>
  <si>
    <t>is_client_facing</t>
  </si>
  <si>
    <t>margin frequency (BD)</t>
  </si>
  <si>
    <t>is_large_netting_set</t>
  </si>
  <si>
    <t>ns_has_difficult_to_replace_trade</t>
  </si>
  <si>
    <t>ns_has_illiquid_collateral</t>
  </si>
  <si>
    <t>margin_dispute</t>
  </si>
  <si>
    <t>N</t>
  </si>
  <si>
    <t>Y</t>
  </si>
  <si>
    <t>MNA007</t>
  </si>
  <si>
    <t>ADCA</t>
  </si>
  <si>
    <t>Maturity factor</t>
  </si>
  <si>
    <t>addon</t>
  </si>
  <si>
    <t>PFE multiplier</t>
  </si>
  <si>
    <t>V</t>
  </si>
  <si>
    <t>C</t>
  </si>
  <si>
    <t>Delta = -3</t>
  </si>
  <si>
    <t>delta recal</t>
  </si>
  <si>
    <t>PFE</t>
  </si>
  <si>
    <t>RC</t>
  </si>
  <si>
    <t>EAD</t>
  </si>
  <si>
    <t>Delta = corrected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</si>
</sst>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00"/>
    <numFmt numFmtId="165" formatCode="_(* #,##0_);_(* \(#,##0\);_(* &quot;-&quot;??_);_(@_)"/>
    <numFmt numFmtId="166" formatCode="0.0000"/>
  </numFmts>
  <fonts count="20">
    <font>
      <sz val="12"/>
      <color theme="1"/>
      <name val="Calibri"/>
      <family val="2"/>
      <scheme val="minor"/>
    </font>
    <font>
      <sz val="11"/>
      <color theme="1"/>
      <name val="Calibri"/>
      <family val="2"/>
      <scheme val="minor"/>
    </font>
    <font>
      <sz val="8"/>
      <name val="Calibri"/>
      <family val="2"/>
      <scheme val="minor"/>
    </font>
    <font>
      <sz val="12"/>
      <color rgb="FF000000"/>
      <name val="Calibri"/>
      <family val="2"/>
      <scheme val="minor"/>
    </font>
    <font>
      <sz val="12"/>
      <color theme="1"/>
      <name val="Calibri"/>
      <family val="2"/>
      <scheme val="minor"/>
    </font>
    <font>
      <b/>
      <sz val="12"/>
      <color theme="1"/>
      <name val="Calibri"/>
      <family val="2"/>
      <scheme val="minor"/>
    </font>
    <font>
      <sz val="12"/>
      <name val="Calibri"/>
      <family val="2"/>
      <scheme val="minor"/>
    </font>
    <font>
      <sz val="12"/>
      <color rgb="FF000000"/>
      <name val="Helvetica Neue"/>
      <family val="2"/>
    </font>
    <font>
      <sz val="12"/>
      <name val="Helvetica Neue"/>
      <family val="2"/>
    </font>
    <font>
      <b/>
      <i/>
      <sz val="16"/>
      <color theme="7" tint="0.39997558519241921"/>
      <name val="Calibri"/>
      <family val="2"/>
      <scheme val="minor"/>
    </font>
    <font>
      <b/>
      <sz val="14"/>
      <color theme="1"/>
      <name val="Calibri"/>
      <family val="2"/>
      <scheme val="minor"/>
    </font>
    <font>
      <sz val="14"/>
      <color rgb="FF000000"/>
      <name val="Calibri"/>
      <family val="2"/>
      <scheme val="minor"/>
    </font>
    <font>
      <sz val="12"/>
      <color rgb="FFFF0000"/>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b/>
      <sz val="11"/>
      <color theme="0"/>
      <name val="Calibri"/>
      <family val="2"/>
      <scheme val="minor"/>
    </font>
    <font>
      <b/>
      <sz val="11"/>
      <color theme="1"/>
      <name val="Calibri"/>
      <family val="2"/>
      <scheme val="minor"/>
    </font>
    <font>
      <b/>
      <sz val="11"/>
      <color rgb="FF006100"/>
      <name val="Calibri"/>
      <family val="2"/>
      <scheme val="minor"/>
    </font>
    <font>
      <b/>
      <sz val="12"/>
      <color theme="0"/>
      <name val="Calibri"/>
      <family val="2"/>
      <scheme val="minor"/>
    </font>
  </fonts>
  <fills count="12">
    <fill>
      <patternFill patternType="none"/>
    </fill>
    <fill>
      <patternFill patternType="gray125"/>
    </fill>
    <fill>
      <patternFill patternType="solid">
        <fgColor theme="7" tint="0.59999389629810485"/>
        <bgColor indexed="64"/>
      </patternFill>
    </fill>
    <fill>
      <patternFill patternType="solid">
        <fgColor theme="0" tint="-0.14999847407452621"/>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theme="5" tint="0.79998168889431442"/>
        <bgColor indexed="65"/>
      </patternFill>
    </fill>
    <fill>
      <patternFill patternType="solid">
        <fgColor rgb="FF002060"/>
        <bgColor indexed="64"/>
      </patternFill>
    </fill>
  </fills>
  <borders count="2">
    <border>
      <left/>
      <right/>
      <top/>
      <bottom/>
      <diagonal/>
    </border>
    <border>
      <left/>
      <right/>
      <top/>
      <bottom style="thin">
        <color indexed="64"/>
      </bottom>
      <diagonal/>
    </border>
  </borders>
  <cellStyleXfs count="7">
    <xf numFmtId="0" fontId="0" fillId="0" borderId="0"/>
    <xf numFmtId="43" fontId="4" fillId="0" borderId="0" applyFont="0" applyFill="0" applyBorder="0" applyAlignment="0" applyProtection="0"/>
    <xf numFmtId="44" fontId="4" fillId="0" borderId="0" applyFont="0" applyFill="0" applyBorder="0" applyAlignment="0" applyProtection="0"/>
    <xf numFmtId="0" fontId="13" fillId="7" borderId="0" applyNumberFormat="0" applyBorder="0" applyAlignment="0" applyProtection="0"/>
    <xf numFmtId="0" fontId="14" fillId="8" borderId="0" applyNumberFormat="0" applyBorder="0" applyAlignment="0" applyProtection="0"/>
    <xf numFmtId="0" fontId="15" fillId="9" borderId="0" applyNumberFormat="0" applyBorder="0" applyAlignment="0" applyProtection="0"/>
    <xf numFmtId="0" fontId="1" fillId="10" borderId="0" applyNumberFormat="0" applyBorder="0" applyAlignment="0" applyProtection="0"/>
  </cellStyleXfs>
  <cellXfs count="49">
    <xf numFmtId="0" fontId="0" fillId="0" borderId="0" xfId="0"/>
    <xf numFmtId="2" fontId="0" fillId="2" borderId="0" xfId="1" applyNumberFormat="1" applyFont="1" applyFill="1" applyAlignment="1">
      <alignment horizontal="left" vertical="center"/>
    </xf>
    <xf numFmtId="0" fontId="9" fillId="5" borderId="0" xfId="0" applyFont="1" applyFill="1"/>
    <xf numFmtId="0" fontId="9" fillId="5" borderId="0" xfId="0" applyFont="1" applyFill="1" applyAlignment="1">
      <alignment vertical="center" wrapText="1"/>
    </xf>
    <xf numFmtId="0" fontId="5" fillId="0" borderId="0" xfId="0" applyFont="1" applyAlignment="1">
      <alignment horizontal="left" vertical="center"/>
    </xf>
    <xf numFmtId="0" fontId="0" fillId="0" borderId="0" xfId="0" applyAlignment="1">
      <alignment horizontal="left" vertical="center" wrapText="1"/>
    </xf>
    <xf numFmtId="0" fontId="0" fillId="0" borderId="0" xfId="0" applyAlignment="1">
      <alignment horizontal="left" vertical="center"/>
    </xf>
    <xf numFmtId="2" fontId="0" fillId="3" borderId="0" xfId="1" applyNumberFormat="1" applyFont="1" applyFill="1" applyAlignment="1">
      <alignment horizontal="left" vertical="center"/>
    </xf>
    <xf numFmtId="0" fontId="5" fillId="0" borderId="0" xfId="0" applyFont="1" applyAlignment="1">
      <alignment horizontal="left"/>
    </xf>
    <xf numFmtId="0" fontId="0" fillId="2" borderId="0" xfId="0" applyFill="1" applyAlignment="1">
      <alignment horizontal="left"/>
    </xf>
    <xf numFmtId="0" fontId="7" fillId="2" borderId="0" xfId="0" applyFont="1" applyFill="1" applyAlignment="1">
      <alignment horizontal="left"/>
    </xf>
    <xf numFmtId="0" fontId="6" fillId="2" borderId="0" xfId="0" applyFont="1" applyFill="1" applyAlignment="1">
      <alignment horizontal="left"/>
    </xf>
    <xf numFmtId="1" fontId="0" fillId="2" borderId="0" xfId="0" applyNumberFormat="1" applyFill="1" applyAlignment="1">
      <alignment horizontal="left"/>
    </xf>
    <xf numFmtId="0" fontId="0" fillId="0" borderId="0" xfId="0" applyAlignment="1">
      <alignment horizontal="left"/>
    </xf>
    <xf numFmtId="0" fontId="8" fillId="2" borderId="0" xfId="0" applyFont="1" applyFill="1" applyAlignment="1">
      <alignment horizontal="left"/>
    </xf>
    <xf numFmtId="1" fontId="6" fillId="2" borderId="0" xfId="0" applyNumberFormat="1" applyFont="1" applyFill="1" applyAlignment="1">
      <alignment horizontal="left"/>
    </xf>
    <xf numFmtId="0" fontId="6" fillId="0" borderId="0" xfId="0" applyFont="1" applyAlignment="1">
      <alignment horizontal="left"/>
    </xf>
    <xf numFmtId="0" fontId="0" fillId="2" borderId="0" xfId="2" applyNumberFormat="1" applyFont="1" applyFill="1" applyAlignment="1">
      <alignment horizontal="left" vertical="center"/>
    </xf>
    <xf numFmtId="1" fontId="0" fillId="2" borderId="0" xfId="1" applyNumberFormat="1" applyFont="1" applyFill="1" applyAlignment="1">
      <alignment horizontal="left" vertical="center"/>
    </xf>
    <xf numFmtId="0" fontId="3" fillId="2" borderId="0" xfId="0" applyFont="1" applyFill="1" applyAlignment="1">
      <alignment horizontal="left"/>
    </xf>
    <xf numFmtId="0" fontId="0" fillId="3" borderId="0" xfId="0" applyFill="1" applyAlignment="1">
      <alignment horizontal="left"/>
    </xf>
    <xf numFmtId="0" fontId="7" fillId="3" borderId="0" xfId="0" applyFont="1" applyFill="1" applyAlignment="1">
      <alignment horizontal="left"/>
    </xf>
    <xf numFmtId="0" fontId="3" fillId="3" borderId="0" xfId="0" applyFont="1" applyFill="1" applyAlignment="1">
      <alignment horizontal="left"/>
    </xf>
    <xf numFmtId="0" fontId="0" fillId="3" borderId="0" xfId="2" applyNumberFormat="1" applyFont="1" applyFill="1" applyAlignment="1">
      <alignment horizontal="left" vertical="center"/>
    </xf>
    <xf numFmtId="1" fontId="0" fillId="3" borderId="0" xfId="1" applyNumberFormat="1" applyFont="1" applyFill="1" applyAlignment="1">
      <alignment horizontal="left" vertical="center"/>
    </xf>
    <xf numFmtId="1" fontId="0" fillId="3" borderId="0" xfId="0" applyNumberFormat="1" applyFill="1" applyAlignment="1">
      <alignment horizontal="left"/>
    </xf>
    <xf numFmtId="0" fontId="0" fillId="4" borderId="0" xfId="0" applyFill="1" applyAlignment="1">
      <alignment horizontal="left"/>
    </xf>
    <xf numFmtId="0" fontId="10" fillId="0" borderId="1" xfId="0" applyFont="1" applyBorder="1" applyAlignment="1">
      <alignment horizontal="left" vertical="center" wrapText="1"/>
    </xf>
    <xf numFmtId="164" fontId="0" fillId="0" borderId="0" xfId="0" applyNumberFormat="1" applyAlignment="1">
      <alignment horizontal="left"/>
    </xf>
    <xf numFmtId="0" fontId="11" fillId="2" borderId="0" xfId="0" applyFont="1" applyFill="1" applyAlignment="1">
      <alignment horizontal="left"/>
    </xf>
    <xf numFmtId="2" fontId="0" fillId="0" borderId="0" xfId="0" applyNumberFormat="1" applyAlignment="1">
      <alignment horizontal="left"/>
    </xf>
    <xf numFmtId="14" fontId="0" fillId="0" borderId="0" xfId="0" applyNumberFormat="1" applyAlignment="1">
      <alignment horizontal="left"/>
    </xf>
    <xf numFmtId="14" fontId="12" fillId="0" borderId="0" xfId="0" applyNumberFormat="1" applyFont="1" applyAlignment="1">
      <alignment horizontal="left"/>
    </xf>
    <xf numFmtId="0" fontId="0" fillId="6" borderId="0" xfId="0" applyFill="1" applyAlignment="1">
      <alignment horizontal="left"/>
    </xf>
    <xf numFmtId="0" fontId="12" fillId="0" borderId="0" xfId="0" applyFont="1" applyAlignment="1">
      <alignment horizontal="left"/>
    </xf>
    <xf numFmtId="0" fontId="17" fillId="10" borderId="0" xfId="6" applyFont="1"/>
    <xf numFmtId="0" fontId="14" fillId="8" borderId="0" xfId="4" applyAlignment="1">
      <alignment horizontal="left"/>
    </xf>
    <xf numFmtId="0" fontId="13" fillId="7" borderId="0" xfId="3"/>
    <xf numFmtId="0" fontId="18" fillId="7" borderId="0" xfId="3" applyFont="1" applyAlignment="1">
      <alignment horizontal="center" vertical="center"/>
    </xf>
    <xf numFmtId="0" fontId="17" fillId="10" borderId="0" xfId="6" applyFont="1" applyAlignment="1">
      <alignment horizontal="center" vertical="center"/>
    </xf>
    <xf numFmtId="0" fontId="0" fillId="0" borderId="0" xfId="0" applyAlignment="1">
      <alignment horizontal="center" vertical="center"/>
    </xf>
    <xf numFmtId="0" fontId="19" fillId="11" borderId="0" xfId="0" applyFont="1" applyFill="1" applyAlignment="1">
      <alignment horizontal="left"/>
    </xf>
    <xf numFmtId="0" fontId="16" fillId="11" borderId="0" xfId="6" applyFont="1" applyFill="1"/>
    <xf numFmtId="165" fontId="0" fillId="0" borderId="0" xfId="1" applyNumberFormat="1" applyFont="1"/>
    <xf numFmtId="2" fontId="0" fillId="0" borderId="0" xfId="0" applyNumberFormat="1"/>
    <xf numFmtId="166" fontId="0" fillId="0" borderId="0" xfId="0" applyNumberFormat="1"/>
    <xf numFmtId="165" fontId="0" fillId="0" borderId="0" xfId="0" applyNumberFormat="1"/>
    <xf numFmtId="0" fontId="15" fillId="9" borderId="0" xfId="5"/>
    <xf numFmtId="0" fontId="14" fillId="8" borderId="0" xfId="4" applyAlignment="1">
      <alignment horizontal="center"/>
    </xf>
  </cellXfs>
  <cellStyles count="7">
    <cellStyle name="20% - Accent2" xfId="6" builtinId="34"/>
    <cellStyle name="Bad" xfId="4" builtinId="27"/>
    <cellStyle name="Comma" xfId="1" builtinId="3"/>
    <cellStyle name="Currency" xfId="2" builtinId="4"/>
    <cellStyle name="Good" xfId="3" builtinId="26"/>
    <cellStyle name="Neutral" xfId="5"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4D6F1-A700-0640-A93A-D9C854BF1CB6}">
  <dimension ref="A1:D27"/>
  <sheetViews>
    <sheetView zoomScale="120" zoomScaleNormal="120" workbookViewId="0"/>
  </sheetViews>
  <sheetFormatPr defaultColWidth="11" defaultRowHeight="15.5"/>
  <cols>
    <col min="1" max="23" width="29.1640625" customWidth="1"/>
  </cols>
  <sheetData>
    <row r="1" spans="1:4">
      <c r="A1" t="s">
        <v>116</v>
      </c>
    </row>
    <row r="2" spans="1:4">
      <c r="A2" t="s">
        <v>114</v>
      </c>
    </row>
    <row r="4" spans="1:4" ht="21">
      <c r="A4" s="2" t="s">
        <v>0</v>
      </c>
      <c r="B4" s="3" t="s">
        <v>1</v>
      </c>
      <c r="C4" s="2" t="s">
        <v>2</v>
      </c>
      <c r="D4" s="3" t="s">
        <v>1</v>
      </c>
    </row>
    <row r="5" spans="1:4">
      <c r="A5" s="4" t="s">
        <v>3</v>
      </c>
      <c r="B5" s="5" t="s">
        <v>4</v>
      </c>
      <c r="C5" s="4" t="s">
        <v>5</v>
      </c>
      <c r="D5" s="5" t="s">
        <v>6</v>
      </c>
    </row>
    <row r="6" spans="1:4">
      <c r="A6" s="4" t="s">
        <v>5</v>
      </c>
      <c r="B6" s="5" t="s">
        <v>6</v>
      </c>
      <c r="C6" s="4" t="s">
        <v>7</v>
      </c>
      <c r="D6" s="5" t="s">
        <v>8</v>
      </c>
    </row>
    <row r="7" spans="1:4" ht="409.5">
      <c r="A7" s="4" t="s">
        <v>9</v>
      </c>
      <c r="B7" s="5" t="s">
        <v>117</v>
      </c>
      <c r="C7" s="4" t="s">
        <v>10</v>
      </c>
      <c r="D7" s="5" t="s">
        <v>11</v>
      </c>
    </row>
    <row r="8" spans="1:4" ht="124">
      <c r="A8" s="4" t="s">
        <v>12</v>
      </c>
      <c r="B8" s="5" t="s">
        <v>115</v>
      </c>
      <c r="C8" s="4" t="s">
        <v>13</v>
      </c>
      <c r="D8" s="5" t="s">
        <v>119</v>
      </c>
    </row>
    <row r="9" spans="1:4" ht="139.5">
      <c r="A9" s="4" t="s">
        <v>14</v>
      </c>
      <c r="B9" s="5" t="s">
        <v>15</v>
      </c>
      <c r="C9" s="4" t="s">
        <v>16</v>
      </c>
      <c r="D9" s="5" t="s">
        <v>120</v>
      </c>
    </row>
    <row r="10" spans="1:4" ht="46.5">
      <c r="A10" s="4" t="s">
        <v>17</v>
      </c>
      <c r="B10" s="5" t="s">
        <v>18</v>
      </c>
      <c r="C10" s="4" t="s">
        <v>19</v>
      </c>
      <c r="D10" s="5" t="s">
        <v>20</v>
      </c>
    </row>
    <row r="11" spans="1:4" ht="46.5">
      <c r="A11" s="4" t="s">
        <v>21</v>
      </c>
      <c r="B11" s="5" t="s">
        <v>22</v>
      </c>
      <c r="C11" s="4" t="s">
        <v>23</v>
      </c>
      <c r="D11" s="5" t="s">
        <v>24</v>
      </c>
    </row>
    <row r="12" spans="1:4" ht="31">
      <c r="A12" s="4" t="s">
        <v>25</v>
      </c>
      <c r="B12" s="5" t="s">
        <v>26</v>
      </c>
      <c r="C12" s="6"/>
      <c r="D12" s="6"/>
    </row>
    <row r="13" spans="1:4">
      <c r="A13" s="4" t="s">
        <v>27</v>
      </c>
      <c r="B13" s="5" t="s">
        <v>28</v>
      </c>
      <c r="C13" s="6"/>
      <c r="D13" s="6"/>
    </row>
    <row r="14" spans="1:4" ht="46.5">
      <c r="A14" s="4" t="s">
        <v>29</v>
      </c>
      <c r="B14" s="5" t="s">
        <v>30</v>
      </c>
      <c r="C14" s="6"/>
      <c r="D14" s="6"/>
    </row>
    <row r="15" spans="1:4" ht="77.5">
      <c r="A15" s="4" t="s">
        <v>31</v>
      </c>
      <c r="B15" s="5" t="s">
        <v>32</v>
      </c>
      <c r="C15" s="6"/>
      <c r="D15" s="6"/>
    </row>
    <row r="16" spans="1:4" ht="46.5">
      <c r="A16" s="4" t="s">
        <v>33</v>
      </c>
      <c r="B16" s="5" t="s">
        <v>34</v>
      </c>
      <c r="C16" s="6"/>
      <c r="D16" s="6"/>
    </row>
    <row r="17" spans="1:4" ht="31">
      <c r="A17" s="4" t="s">
        <v>35</v>
      </c>
      <c r="B17" s="5" t="s">
        <v>36</v>
      </c>
      <c r="C17" s="6"/>
      <c r="D17" s="6"/>
    </row>
    <row r="18" spans="1:4" ht="46.5">
      <c r="A18" s="4" t="s">
        <v>37</v>
      </c>
      <c r="B18" s="5" t="s">
        <v>38</v>
      </c>
      <c r="C18" s="6"/>
      <c r="D18" s="6"/>
    </row>
    <row r="19" spans="1:4" ht="31">
      <c r="A19" s="4" t="s">
        <v>39</v>
      </c>
      <c r="B19" s="5" t="s">
        <v>40</v>
      </c>
      <c r="C19" s="6"/>
      <c r="D19" s="6"/>
    </row>
    <row r="20" spans="1:4" ht="46.5">
      <c r="A20" s="4" t="s">
        <v>41</v>
      </c>
      <c r="B20" s="5" t="s">
        <v>42</v>
      </c>
      <c r="C20" s="6"/>
      <c r="D20" s="6"/>
    </row>
    <row r="21" spans="1:4" ht="46.5">
      <c r="A21" s="4" t="s">
        <v>43</v>
      </c>
      <c r="B21" s="5" t="s">
        <v>44</v>
      </c>
      <c r="C21" s="6"/>
      <c r="D21" s="6"/>
    </row>
    <row r="22" spans="1:4" ht="46.5">
      <c r="A22" s="4" t="s">
        <v>45</v>
      </c>
      <c r="B22" s="5" t="s">
        <v>46</v>
      </c>
      <c r="C22" s="6"/>
      <c r="D22" s="6"/>
    </row>
    <row r="23" spans="1:4" ht="31">
      <c r="A23" s="4" t="s">
        <v>47</v>
      </c>
      <c r="B23" s="5" t="s">
        <v>48</v>
      </c>
      <c r="C23" s="6"/>
      <c r="D23" s="6"/>
    </row>
    <row r="24" spans="1:4" ht="62">
      <c r="A24" s="4" t="s">
        <v>49</v>
      </c>
      <c r="B24" s="5" t="s">
        <v>50</v>
      </c>
      <c r="C24" s="6"/>
      <c r="D24" s="6"/>
    </row>
    <row r="25" spans="1:4" ht="62">
      <c r="A25" s="4" t="s">
        <v>51</v>
      </c>
      <c r="B25" s="5" t="s">
        <v>52</v>
      </c>
      <c r="C25" s="6"/>
      <c r="D25" s="6"/>
    </row>
    <row r="26" spans="1:4" ht="62">
      <c r="A26" s="4" t="s">
        <v>53</v>
      </c>
      <c r="B26" s="5" t="s">
        <v>54</v>
      </c>
      <c r="C26" s="6"/>
      <c r="D26" s="6"/>
    </row>
    <row r="27" spans="1:4" ht="46.5">
      <c r="A27" s="4" t="s">
        <v>55</v>
      </c>
      <c r="B27" s="5" t="s">
        <v>56</v>
      </c>
      <c r="C27" s="6"/>
      <c r="D27"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BC2FA-FA18-814B-8D39-ECEBDFF49449}">
  <dimension ref="A1:AF42"/>
  <sheetViews>
    <sheetView tabSelected="1" zoomScale="70" zoomScaleNormal="70" workbookViewId="0">
      <selection activeCell="H15" sqref="H15"/>
    </sheetView>
  </sheetViews>
  <sheetFormatPr defaultColWidth="11" defaultRowHeight="15.5"/>
  <cols>
    <col min="1" max="2" width="11" style="13"/>
    <col min="3" max="3" width="21.83203125" style="13" bestFit="1" customWidth="1"/>
    <col min="4" max="4" width="11" style="13"/>
    <col min="5" max="5" width="19.83203125" style="13" customWidth="1"/>
    <col min="6" max="6" width="24.5" style="13" customWidth="1"/>
    <col min="7" max="7" width="11" style="13"/>
    <col min="8" max="8" width="14.1640625" style="13" customWidth="1"/>
    <col min="9" max="9" width="17.33203125" style="13" customWidth="1"/>
    <col min="10" max="10" width="11" style="13"/>
    <col min="11" max="12" width="11" style="13" customWidth="1"/>
    <col min="13" max="13" width="17.33203125" style="13" customWidth="1"/>
    <col min="14" max="15" width="11" style="13" customWidth="1"/>
    <col min="16" max="16" width="16.83203125" style="13" customWidth="1"/>
    <col min="17" max="17" width="15.83203125" style="13" customWidth="1"/>
    <col min="18" max="18" width="18.5" style="13" customWidth="1"/>
    <col min="19" max="19" width="18.6640625" style="13" customWidth="1"/>
    <col min="20" max="20" width="14" style="13" customWidth="1"/>
    <col min="21" max="21" width="11" style="13" customWidth="1"/>
    <col min="22" max="22" width="19.83203125" style="13" customWidth="1"/>
    <col min="23" max="23" width="21.33203125" style="13" customWidth="1"/>
    <col min="24" max="26" width="11" style="13" customWidth="1"/>
    <col min="27" max="28" width="11" style="13"/>
    <col min="29" max="29" width="16.33203125" style="13" bestFit="1" customWidth="1"/>
    <col min="30" max="31" width="11" style="13"/>
    <col min="32" max="32" width="16.83203125" style="13" bestFit="1" customWidth="1"/>
    <col min="33" max="16384" width="11" style="13"/>
  </cols>
  <sheetData>
    <row r="1" spans="1:32" s="8" customFormat="1">
      <c r="A1" s="8" t="s">
        <v>3</v>
      </c>
      <c r="B1" s="8" t="s">
        <v>5</v>
      </c>
      <c r="C1" s="8" t="s">
        <v>9</v>
      </c>
      <c r="D1" s="8" t="s">
        <v>12</v>
      </c>
      <c r="E1" s="8" t="s">
        <v>14</v>
      </c>
      <c r="F1" s="8" t="s">
        <v>17</v>
      </c>
      <c r="G1" s="8" t="s">
        <v>21</v>
      </c>
      <c r="H1" s="8" t="s">
        <v>25</v>
      </c>
      <c r="I1" s="8" t="s">
        <v>27</v>
      </c>
      <c r="J1" s="8" t="s">
        <v>29</v>
      </c>
      <c r="K1" s="8" t="s">
        <v>31</v>
      </c>
      <c r="L1" s="8" t="s">
        <v>33</v>
      </c>
      <c r="M1" s="8" t="s">
        <v>35</v>
      </c>
      <c r="N1" s="8" t="s">
        <v>37</v>
      </c>
      <c r="O1" s="8" t="s">
        <v>39</v>
      </c>
      <c r="P1" s="8" t="s">
        <v>41</v>
      </c>
      <c r="Q1" s="8" t="s">
        <v>43</v>
      </c>
      <c r="R1" s="8" t="s">
        <v>45</v>
      </c>
      <c r="S1" s="8" t="s">
        <v>47</v>
      </c>
      <c r="T1" s="8" t="s">
        <v>49</v>
      </c>
      <c r="U1" s="8" t="s">
        <v>51</v>
      </c>
      <c r="V1" s="8" t="s">
        <v>53</v>
      </c>
      <c r="W1" s="8" t="s">
        <v>55</v>
      </c>
      <c r="X1" s="8" t="s">
        <v>122</v>
      </c>
      <c r="Y1" s="8" t="s">
        <v>123</v>
      </c>
      <c r="Z1" s="8" t="s">
        <v>125</v>
      </c>
      <c r="AA1" s="35" t="s">
        <v>130</v>
      </c>
      <c r="AB1" s="35" t="s">
        <v>131</v>
      </c>
      <c r="AC1" s="35" t="s">
        <v>132</v>
      </c>
      <c r="AD1" s="35" t="s">
        <v>133</v>
      </c>
      <c r="AE1" s="35" t="s">
        <v>134</v>
      </c>
      <c r="AF1" s="35" t="s">
        <v>135</v>
      </c>
    </row>
    <row r="2" spans="1:32">
      <c r="A2" s="9" t="s">
        <v>57</v>
      </c>
      <c r="B2" s="9" t="s">
        <v>58</v>
      </c>
      <c r="C2" s="9" t="s">
        <v>59</v>
      </c>
      <c r="D2" s="9" t="s">
        <v>60</v>
      </c>
      <c r="E2" s="10" t="s">
        <v>61</v>
      </c>
      <c r="F2" s="10" t="s">
        <v>62</v>
      </c>
      <c r="G2" s="10" t="s">
        <v>62</v>
      </c>
      <c r="H2" s="11">
        <v>-11107</v>
      </c>
      <c r="I2" s="9">
        <v>9000000</v>
      </c>
      <c r="J2" s="9">
        <v>10</v>
      </c>
      <c r="K2" s="12">
        <v>0</v>
      </c>
      <c r="L2" s="12">
        <v>2353</v>
      </c>
      <c r="M2" s="9">
        <v>2353</v>
      </c>
      <c r="N2" s="9" t="b">
        <v>0</v>
      </c>
      <c r="O2" s="9"/>
      <c r="P2" s="9"/>
      <c r="Q2" s="9"/>
      <c r="R2" s="9"/>
      <c r="S2" s="9" t="b">
        <v>0</v>
      </c>
      <c r="T2" s="9"/>
      <c r="U2" s="9"/>
      <c r="V2" s="9" t="b">
        <v>0</v>
      </c>
      <c r="W2" s="9" t="b">
        <v>0</v>
      </c>
      <c r="X2" s="31">
        <v>45838</v>
      </c>
      <c r="Y2" s="31">
        <f>X2+L2</f>
        <v>48191</v>
      </c>
      <c r="Z2" s="13">
        <v>-1</v>
      </c>
      <c r="AA2" s="13" t="s">
        <v>136</v>
      </c>
      <c r="AB2" s="13">
        <v>1</v>
      </c>
      <c r="AC2" s="13" t="s">
        <v>136</v>
      </c>
      <c r="AD2" s="13" t="s">
        <v>136</v>
      </c>
      <c r="AE2" s="13" t="s">
        <v>136</v>
      </c>
      <c r="AF2" s="13" t="s">
        <v>136</v>
      </c>
    </row>
    <row r="3" spans="1:32">
      <c r="A3" s="9" t="s">
        <v>63</v>
      </c>
      <c r="B3" s="9" t="s">
        <v>58</v>
      </c>
      <c r="C3" s="9" t="s">
        <v>59</v>
      </c>
      <c r="D3" s="9" t="s">
        <v>60</v>
      </c>
      <c r="E3" s="10" t="s">
        <v>61</v>
      </c>
      <c r="F3" s="10" t="s">
        <v>62</v>
      </c>
      <c r="G3" s="10" t="s">
        <v>62</v>
      </c>
      <c r="H3" s="11">
        <v>-16660</v>
      </c>
      <c r="I3" s="9">
        <v>36000000</v>
      </c>
      <c r="J3" s="9">
        <v>10</v>
      </c>
      <c r="K3" s="12">
        <v>0</v>
      </c>
      <c r="L3" s="12">
        <v>961</v>
      </c>
      <c r="M3" s="9">
        <v>961</v>
      </c>
      <c r="N3" s="9" t="b">
        <v>0</v>
      </c>
      <c r="O3" s="9"/>
      <c r="P3" s="9"/>
      <c r="Q3" s="9"/>
      <c r="R3" s="9"/>
      <c r="S3" s="9" t="b">
        <v>0</v>
      </c>
      <c r="T3" s="9"/>
      <c r="U3" s="9"/>
      <c r="V3" s="9" t="b">
        <v>0</v>
      </c>
      <c r="W3" s="9" t="b">
        <v>0</v>
      </c>
      <c r="X3" s="31">
        <v>45838</v>
      </c>
      <c r="Y3" s="31">
        <f t="shared" ref="Y3:Y36" si="0">X3+L3</f>
        <v>46799</v>
      </c>
      <c r="Z3" s="13">
        <v>-1</v>
      </c>
      <c r="AA3" s="13" t="s">
        <v>136</v>
      </c>
      <c r="AB3" s="13">
        <v>1</v>
      </c>
      <c r="AC3" s="13" t="s">
        <v>136</v>
      </c>
      <c r="AD3" s="13" t="s">
        <v>136</v>
      </c>
      <c r="AE3" s="13" t="s">
        <v>136</v>
      </c>
      <c r="AF3" s="13" t="s">
        <v>136</v>
      </c>
    </row>
    <row r="4" spans="1:32">
      <c r="A4" s="9" t="s">
        <v>64</v>
      </c>
      <c r="B4" s="9" t="s">
        <v>58</v>
      </c>
      <c r="C4" s="9" t="s">
        <v>59</v>
      </c>
      <c r="D4" s="9" t="s">
        <v>60</v>
      </c>
      <c r="E4" s="10" t="s">
        <v>61</v>
      </c>
      <c r="F4" s="10" t="s">
        <v>62</v>
      </c>
      <c r="G4" s="10" t="s">
        <v>62</v>
      </c>
      <c r="H4" s="11">
        <v>-5553</v>
      </c>
      <c r="I4" s="9">
        <v>4000000</v>
      </c>
      <c r="J4" s="9">
        <v>10</v>
      </c>
      <c r="K4" s="12">
        <v>0</v>
      </c>
      <c r="L4" s="12">
        <v>199</v>
      </c>
      <c r="M4" s="9">
        <v>199</v>
      </c>
      <c r="N4" s="9" t="b">
        <v>0</v>
      </c>
      <c r="O4" s="9"/>
      <c r="P4" s="9"/>
      <c r="Q4" s="9"/>
      <c r="R4" s="9"/>
      <c r="S4" s="9" t="b">
        <v>0</v>
      </c>
      <c r="T4" s="9"/>
      <c r="U4" s="9"/>
      <c r="V4" s="9" t="b">
        <v>0</v>
      </c>
      <c r="W4" s="9" t="b">
        <v>0</v>
      </c>
      <c r="X4" s="31">
        <v>45838</v>
      </c>
      <c r="Y4" s="31">
        <f t="shared" si="0"/>
        <v>46037</v>
      </c>
      <c r="Z4" s="13">
        <v>-1</v>
      </c>
      <c r="AA4" s="13" t="s">
        <v>136</v>
      </c>
      <c r="AB4" s="13">
        <v>1</v>
      </c>
      <c r="AC4" s="13" t="s">
        <v>136</v>
      </c>
      <c r="AD4" s="13" t="s">
        <v>136</v>
      </c>
      <c r="AE4" s="13" t="s">
        <v>136</v>
      </c>
      <c r="AF4" s="13" t="s">
        <v>136</v>
      </c>
    </row>
    <row r="5" spans="1:32">
      <c r="A5" s="9" t="s">
        <v>65</v>
      </c>
      <c r="B5" s="9" t="s">
        <v>58</v>
      </c>
      <c r="C5" s="9" t="s">
        <v>66</v>
      </c>
      <c r="D5" s="9" t="s">
        <v>67</v>
      </c>
      <c r="E5" s="10" t="s">
        <v>68</v>
      </c>
      <c r="F5" s="10" t="s">
        <v>69</v>
      </c>
      <c r="G5" s="10" t="s">
        <v>62</v>
      </c>
      <c r="H5" s="11">
        <v>135000</v>
      </c>
      <c r="I5" s="9">
        <v>300000</v>
      </c>
      <c r="J5" s="9">
        <v>10</v>
      </c>
      <c r="K5" s="12">
        <v>0</v>
      </c>
      <c r="L5" s="12">
        <v>65</v>
      </c>
      <c r="M5" s="9">
        <v>65</v>
      </c>
      <c r="N5" s="9" t="b">
        <v>0</v>
      </c>
      <c r="O5" s="9"/>
      <c r="P5" s="9"/>
      <c r="Q5" s="9"/>
      <c r="R5" s="9"/>
      <c r="S5" s="9" t="b">
        <v>0</v>
      </c>
      <c r="T5" s="9"/>
      <c r="U5" s="9"/>
      <c r="V5" s="9" t="b">
        <v>0</v>
      </c>
      <c r="W5" s="9" t="b">
        <v>0</v>
      </c>
      <c r="X5" s="31">
        <v>45838</v>
      </c>
      <c r="Y5" s="31">
        <f t="shared" si="0"/>
        <v>45903</v>
      </c>
      <c r="Z5" s="13">
        <v>1</v>
      </c>
      <c r="AA5" s="13" t="s">
        <v>136</v>
      </c>
      <c r="AB5" s="13">
        <v>1</v>
      </c>
      <c r="AC5" s="13" t="s">
        <v>136</v>
      </c>
      <c r="AD5" s="13" t="s">
        <v>136</v>
      </c>
      <c r="AE5" s="13" t="s">
        <v>136</v>
      </c>
      <c r="AF5" s="13" t="s">
        <v>136</v>
      </c>
    </row>
    <row r="6" spans="1:32" s="16" customFormat="1">
      <c r="A6" s="9" t="s">
        <v>70</v>
      </c>
      <c r="B6" s="11" t="s">
        <v>58</v>
      </c>
      <c r="C6" s="11" t="s">
        <v>71</v>
      </c>
      <c r="D6" s="11" t="s">
        <v>67</v>
      </c>
      <c r="E6" s="14" t="s">
        <v>72</v>
      </c>
      <c r="F6" s="14" t="s">
        <v>73</v>
      </c>
      <c r="G6" s="14" t="s">
        <v>62</v>
      </c>
      <c r="H6" s="11">
        <v>70040</v>
      </c>
      <c r="I6" s="11">
        <v>760473</v>
      </c>
      <c r="J6" s="9">
        <v>10</v>
      </c>
      <c r="K6" s="15">
        <v>251</v>
      </c>
      <c r="L6" s="15">
        <v>1068</v>
      </c>
      <c r="M6" s="11">
        <v>251</v>
      </c>
      <c r="N6" s="11" t="b">
        <v>1</v>
      </c>
      <c r="O6" s="11" t="s">
        <v>74</v>
      </c>
      <c r="P6" s="11">
        <v>7.4830000000000001E-3</v>
      </c>
      <c r="Q6" s="11">
        <v>0.03</v>
      </c>
      <c r="R6" s="11">
        <v>251</v>
      </c>
      <c r="S6" s="11" t="b">
        <v>0</v>
      </c>
      <c r="T6" s="11"/>
      <c r="U6" s="11"/>
      <c r="V6" s="11" t="b">
        <v>0</v>
      </c>
      <c r="W6" s="11" t="b">
        <v>0</v>
      </c>
      <c r="X6" s="31">
        <v>45838</v>
      </c>
      <c r="Y6" s="31">
        <f t="shared" si="0"/>
        <v>46906</v>
      </c>
      <c r="Z6" s="16">
        <v>9.1521435516482105E-2</v>
      </c>
      <c r="AA6" s="13" t="s">
        <v>136</v>
      </c>
      <c r="AB6" s="13">
        <v>1</v>
      </c>
      <c r="AC6" s="13" t="s">
        <v>136</v>
      </c>
      <c r="AD6" s="13" t="s">
        <v>136</v>
      </c>
      <c r="AE6" s="13" t="s">
        <v>136</v>
      </c>
      <c r="AF6" s="13" t="s">
        <v>136</v>
      </c>
    </row>
    <row r="7" spans="1:32">
      <c r="A7" s="9" t="s">
        <v>75</v>
      </c>
      <c r="B7" s="11" t="s">
        <v>58</v>
      </c>
      <c r="C7" s="9" t="s">
        <v>76</v>
      </c>
      <c r="D7" s="9" t="s">
        <v>60</v>
      </c>
      <c r="E7" s="10" t="s">
        <v>77</v>
      </c>
      <c r="F7" s="10" t="s">
        <v>62</v>
      </c>
      <c r="G7" s="10" t="s">
        <v>62</v>
      </c>
      <c r="H7" s="9">
        <v>-8291</v>
      </c>
      <c r="I7" s="9">
        <v>131766.9</v>
      </c>
      <c r="J7" s="9">
        <v>10</v>
      </c>
      <c r="K7" s="12">
        <v>0</v>
      </c>
      <c r="L7" s="12">
        <v>158</v>
      </c>
      <c r="M7" s="9">
        <v>158</v>
      </c>
      <c r="N7" s="9" t="b">
        <v>0</v>
      </c>
      <c r="O7" s="9"/>
      <c r="P7" s="9"/>
      <c r="Q7" s="9"/>
      <c r="R7" s="9"/>
      <c r="S7" s="9" t="b">
        <v>0</v>
      </c>
      <c r="T7" s="9"/>
      <c r="U7" s="9"/>
      <c r="V7" s="9" t="b">
        <v>0</v>
      </c>
      <c r="W7" s="9" t="b">
        <v>0</v>
      </c>
      <c r="X7" s="31">
        <v>45838</v>
      </c>
      <c r="Y7" s="31">
        <f t="shared" si="0"/>
        <v>45996</v>
      </c>
      <c r="Z7" s="13">
        <v>-1</v>
      </c>
      <c r="AA7" s="13" t="s">
        <v>136</v>
      </c>
      <c r="AB7" s="13">
        <v>1</v>
      </c>
      <c r="AC7" s="13" t="s">
        <v>136</v>
      </c>
      <c r="AD7" s="13" t="s">
        <v>136</v>
      </c>
      <c r="AE7" s="13" t="s">
        <v>136</v>
      </c>
      <c r="AF7" s="13" t="s">
        <v>136</v>
      </c>
    </row>
    <row r="8" spans="1:32">
      <c r="A8" s="9" t="s">
        <v>78</v>
      </c>
      <c r="B8" s="11" t="s">
        <v>58</v>
      </c>
      <c r="C8" s="9" t="s">
        <v>79</v>
      </c>
      <c r="D8" s="9" t="s">
        <v>60</v>
      </c>
      <c r="E8" s="10" t="s">
        <v>77</v>
      </c>
      <c r="F8" s="10" t="s">
        <v>62</v>
      </c>
      <c r="G8" s="10" t="s">
        <v>62</v>
      </c>
      <c r="H8" s="9">
        <v>-5300</v>
      </c>
      <c r="I8" s="9">
        <v>27663.040000000001</v>
      </c>
      <c r="J8" s="9">
        <v>10</v>
      </c>
      <c r="K8" s="12">
        <v>0</v>
      </c>
      <c r="L8" s="12">
        <v>220</v>
      </c>
      <c r="M8" s="9">
        <v>220</v>
      </c>
      <c r="N8" s="9" t="b">
        <v>0</v>
      </c>
      <c r="O8" s="9"/>
      <c r="P8" s="9"/>
      <c r="Q8" s="9"/>
      <c r="R8" s="9"/>
      <c r="S8" s="9" t="b">
        <v>0</v>
      </c>
      <c r="T8" s="9"/>
      <c r="U8" s="9"/>
      <c r="V8" s="9" t="b">
        <v>0</v>
      </c>
      <c r="W8" s="9" t="b">
        <v>0</v>
      </c>
      <c r="X8" s="31">
        <v>45838</v>
      </c>
      <c r="Y8" s="31">
        <f t="shared" si="0"/>
        <v>46058</v>
      </c>
      <c r="Z8" s="13">
        <v>-1</v>
      </c>
      <c r="AA8" s="13" t="s">
        <v>136</v>
      </c>
      <c r="AB8" s="13">
        <v>1</v>
      </c>
      <c r="AC8" s="13" t="s">
        <v>136</v>
      </c>
      <c r="AD8" s="13" t="s">
        <v>136</v>
      </c>
      <c r="AE8" s="13" t="s">
        <v>136</v>
      </c>
      <c r="AF8" s="13" t="s">
        <v>136</v>
      </c>
    </row>
    <row r="9" spans="1:32">
      <c r="A9" s="9" t="s">
        <v>80</v>
      </c>
      <c r="B9" s="9" t="s">
        <v>58</v>
      </c>
      <c r="C9" s="9" t="s">
        <v>81</v>
      </c>
      <c r="D9" s="9" t="s">
        <v>67</v>
      </c>
      <c r="E9" s="10" t="s">
        <v>82</v>
      </c>
      <c r="F9" s="10" t="s">
        <v>62</v>
      </c>
      <c r="G9" s="10" t="s">
        <v>62</v>
      </c>
      <c r="H9" s="17">
        <v>813000</v>
      </c>
      <c r="I9" s="1">
        <v>6883500</v>
      </c>
      <c r="J9" s="9">
        <v>10</v>
      </c>
      <c r="K9" s="18">
        <v>0</v>
      </c>
      <c r="L9" s="18">
        <v>250</v>
      </c>
      <c r="M9" s="9">
        <v>250</v>
      </c>
      <c r="N9" s="9" t="b">
        <v>1</v>
      </c>
      <c r="O9" s="9" t="s">
        <v>74</v>
      </c>
      <c r="P9" s="1">
        <v>4589</v>
      </c>
      <c r="Q9" s="1">
        <v>4589</v>
      </c>
      <c r="R9" s="1">
        <v>250</v>
      </c>
      <c r="S9" s="9" t="b">
        <v>0</v>
      </c>
      <c r="T9" s="9"/>
      <c r="U9" s="9"/>
      <c r="V9" s="9" t="b">
        <v>0</v>
      </c>
      <c r="W9" s="9" t="b">
        <v>0</v>
      </c>
      <c r="X9" s="31">
        <v>45838</v>
      </c>
      <c r="Y9" s="31">
        <f t="shared" si="0"/>
        <v>46088</v>
      </c>
      <c r="Z9" s="13">
        <v>0.64616976667272297</v>
      </c>
      <c r="AA9" s="13" t="s">
        <v>136</v>
      </c>
      <c r="AB9" s="13">
        <v>1</v>
      </c>
      <c r="AC9" s="13" t="s">
        <v>136</v>
      </c>
      <c r="AD9" s="13" t="s">
        <v>136</v>
      </c>
      <c r="AE9" s="13" t="s">
        <v>136</v>
      </c>
      <c r="AF9" s="13" t="s">
        <v>136</v>
      </c>
    </row>
    <row r="10" spans="1:32">
      <c r="A10" s="9" t="s">
        <v>83</v>
      </c>
      <c r="B10" s="9" t="s">
        <v>58</v>
      </c>
      <c r="C10" s="9" t="s">
        <v>84</v>
      </c>
      <c r="D10" s="9" t="s">
        <v>60</v>
      </c>
      <c r="E10" s="10" t="s">
        <v>82</v>
      </c>
      <c r="F10" s="10" t="s">
        <v>62</v>
      </c>
      <c r="G10" s="10" t="s">
        <v>62</v>
      </c>
      <c r="H10" s="17">
        <v>-459120</v>
      </c>
      <c r="I10" s="1">
        <v>5139168</v>
      </c>
      <c r="J10" s="9">
        <v>10</v>
      </c>
      <c r="K10" s="18">
        <v>0</v>
      </c>
      <c r="L10" s="18">
        <v>250</v>
      </c>
      <c r="M10" s="9">
        <v>250</v>
      </c>
      <c r="N10" s="9" t="b">
        <v>1</v>
      </c>
      <c r="O10" s="9" t="s">
        <v>74</v>
      </c>
      <c r="P10" s="1">
        <v>4282.6400000000003</v>
      </c>
      <c r="Q10" s="1">
        <v>4282.6400000000003</v>
      </c>
      <c r="R10" s="1">
        <v>250</v>
      </c>
      <c r="S10" s="9" t="b">
        <v>0</v>
      </c>
      <c r="T10" s="9"/>
      <c r="U10" s="9"/>
      <c r="V10" s="9" t="b">
        <v>0</v>
      </c>
      <c r="W10" s="9" t="b">
        <v>0</v>
      </c>
      <c r="X10" s="31">
        <v>45838</v>
      </c>
      <c r="Y10" s="31">
        <f t="shared" si="0"/>
        <v>46088</v>
      </c>
      <c r="Z10" s="13">
        <v>-0.64616976667272297</v>
      </c>
      <c r="AA10" s="13" t="s">
        <v>136</v>
      </c>
      <c r="AB10" s="13">
        <v>1</v>
      </c>
      <c r="AC10" s="13" t="s">
        <v>136</v>
      </c>
      <c r="AD10" s="13" t="s">
        <v>136</v>
      </c>
      <c r="AE10" s="13" t="s">
        <v>136</v>
      </c>
      <c r="AF10" s="13" t="s">
        <v>136</v>
      </c>
    </row>
    <row r="11" spans="1:32">
      <c r="A11" s="9" t="s">
        <v>85</v>
      </c>
      <c r="B11" s="9" t="s">
        <v>58</v>
      </c>
      <c r="C11" s="9" t="s">
        <v>86</v>
      </c>
      <c r="D11" s="9" t="s">
        <v>67</v>
      </c>
      <c r="E11" s="9" t="s">
        <v>87</v>
      </c>
      <c r="F11" s="9" t="s">
        <v>88</v>
      </c>
      <c r="G11" s="9" t="s">
        <v>89</v>
      </c>
      <c r="H11" s="9">
        <v>400800</v>
      </c>
      <c r="I11" s="9">
        <v>964228</v>
      </c>
      <c r="J11" s="9">
        <v>10</v>
      </c>
      <c r="K11" s="12">
        <v>0</v>
      </c>
      <c r="L11" s="12">
        <v>125</v>
      </c>
      <c r="M11" s="9">
        <v>125</v>
      </c>
      <c r="N11" s="9" t="b">
        <v>1</v>
      </c>
      <c r="O11" s="9" t="s">
        <v>74</v>
      </c>
      <c r="P11" s="9">
        <v>120</v>
      </c>
      <c r="Q11" s="9">
        <v>120</v>
      </c>
      <c r="R11" s="9">
        <v>125</v>
      </c>
      <c r="S11" s="9" t="b">
        <v>0</v>
      </c>
      <c r="T11" s="9"/>
      <c r="U11" s="9"/>
      <c r="V11" s="19" t="b">
        <v>0</v>
      </c>
      <c r="W11" s="19" t="b">
        <v>0</v>
      </c>
      <c r="X11" s="31">
        <v>45838</v>
      </c>
      <c r="Y11" s="31">
        <f t="shared" si="0"/>
        <v>45963</v>
      </c>
      <c r="Z11" s="13">
        <v>0.59773446890843795</v>
      </c>
      <c r="AA11" s="13" t="s">
        <v>136</v>
      </c>
      <c r="AB11" s="13">
        <v>1</v>
      </c>
      <c r="AC11" s="13" t="s">
        <v>136</v>
      </c>
      <c r="AD11" s="13" t="s">
        <v>136</v>
      </c>
      <c r="AE11" s="13" t="s">
        <v>136</v>
      </c>
      <c r="AF11" s="13" t="s">
        <v>136</v>
      </c>
    </row>
    <row r="12" spans="1:32">
      <c r="A12" s="9" t="s">
        <v>90</v>
      </c>
      <c r="B12" s="9" t="s">
        <v>58</v>
      </c>
      <c r="C12" s="9" t="s">
        <v>91</v>
      </c>
      <c r="D12" s="9" t="s">
        <v>60</v>
      </c>
      <c r="E12" s="9" t="s">
        <v>87</v>
      </c>
      <c r="F12" s="9" t="s">
        <v>88</v>
      </c>
      <c r="G12" s="9" t="s">
        <v>91</v>
      </c>
      <c r="H12" s="9">
        <v>-365500</v>
      </c>
      <c r="I12" s="9">
        <v>951770</v>
      </c>
      <c r="J12" s="9">
        <v>10</v>
      </c>
      <c r="K12" s="12">
        <v>0</v>
      </c>
      <c r="L12" s="12">
        <v>125</v>
      </c>
      <c r="M12" s="9">
        <v>125</v>
      </c>
      <c r="N12" s="9" t="b">
        <v>0</v>
      </c>
      <c r="O12" s="9"/>
      <c r="P12" s="9"/>
      <c r="Q12" s="9"/>
      <c r="R12" s="9"/>
      <c r="S12" s="9" t="b">
        <v>0</v>
      </c>
      <c r="T12" s="9"/>
      <c r="U12" s="9"/>
      <c r="V12" s="19" t="b">
        <v>0</v>
      </c>
      <c r="W12" s="19" t="b">
        <v>0</v>
      </c>
      <c r="X12" s="31">
        <v>45838</v>
      </c>
      <c r="Y12" s="31">
        <f t="shared" si="0"/>
        <v>45963</v>
      </c>
      <c r="Z12" s="13">
        <v>-1</v>
      </c>
      <c r="AA12" s="13" t="s">
        <v>136</v>
      </c>
      <c r="AB12" s="13">
        <v>1</v>
      </c>
      <c r="AC12" s="13" t="s">
        <v>136</v>
      </c>
      <c r="AD12" s="13" t="s">
        <v>136</v>
      </c>
      <c r="AE12" s="13" t="s">
        <v>136</v>
      </c>
      <c r="AF12" s="13" t="s">
        <v>136</v>
      </c>
    </row>
    <row r="13" spans="1:32">
      <c r="A13" s="9" t="s">
        <v>92</v>
      </c>
      <c r="B13" s="9" t="s">
        <v>58</v>
      </c>
      <c r="C13" s="9" t="s">
        <v>93</v>
      </c>
      <c r="D13" s="9" t="s">
        <v>60</v>
      </c>
      <c r="E13" s="9" t="s">
        <v>87</v>
      </c>
      <c r="F13" s="9" t="s">
        <v>89</v>
      </c>
      <c r="G13" s="9" t="s">
        <v>62</v>
      </c>
      <c r="H13" s="9">
        <v>-423000</v>
      </c>
      <c r="I13" s="9">
        <v>357821</v>
      </c>
      <c r="J13" s="9">
        <v>10</v>
      </c>
      <c r="K13" s="12">
        <v>0</v>
      </c>
      <c r="L13" s="12">
        <v>125</v>
      </c>
      <c r="M13" s="9">
        <v>125</v>
      </c>
      <c r="N13" s="9" t="b">
        <v>0</v>
      </c>
      <c r="O13" s="9"/>
      <c r="P13" s="9"/>
      <c r="Q13" s="9"/>
      <c r="R13" s="9"/>
      <c r="S13" s="9" t="b">
        <v>0</v>
      </c>
      <c r="T13" s="9"/>
      <c r="U13" s="9"/>
      <c r="V13" s="19" t="b">
        <v>0</v>
      </c>
      <c r="W13" s="19" t="b">
        <v>0</v>
      </c>
      <c r="X13" s="31">
        <v>45838</v>
      </c>
      <c r="Y13" s="31">
        <f t="shared" si="0"/>
        <v>45963</v>
      </c>
      <c r="Z13" s="13">
        <v>-1</v>
      </c>
      <c r="AA13" s="13" t="s">
        <v>136</v>
      </c>
      <c r="AB13" s="13">
        <v>1</v>
      </c>
      <c r="AC13" s="13" t="s">
        <v>136</v>
      </c>
      <c r="AD13" s="13" t="s">
        <v>136</v>
      </c>
      <c r="AE13" s="13" t="s">
        <v>136</v>
      </c>
      <c r="AF13" s="13" t="s">
        <v>136</v>
      </c>
    </row>
    <row r="14" spans="1:32">
      <c r="A14" s="9" t="s">
        <v>94</v>
      </c>
      <c r="B14" s="9" t="s">
        <v>58</v>
      </c>
      <c r="C14" s="9" t="s">
        <v>95</v>
      </c>
      <c r="D14" s="9" t="s">
        <v>67</v>
      </c>
      <c r="E14" s="9" t="s">
        <v>87</v>
      </c>
      <c r="F14" s="9" t="s">
        <v>96</v>
      </c>
      <c r="G14" s="9" t="s">
        <v>62</v>
      </c>
      <c r="H14" s="9">
        <v>725649</v>
      </c>
      <c r="I14" s="9">
        <v>342599</v>
      </c>
      <c r="J14" s="9">
        <v>10</v>
      </c>
      <c r="K14" s="12">
        <v>0</v>
      </c>
      <c r="L14" s="12">
        <v>125</v>
      </c>
      <c r="M14" s="9">
        <v>125</v>
      </c>
      <c r="N14" s="9" t="b">
        <v>0</v>
      </c>
      <c r="O14" s="9"/>
      <c r="P14" s="9"/>
      <c r="Q14" s="9"/>
      <c r="R14" s="9"/>
      <c r="S14" s="9" t="b">
        <v>0</v>
      </c>
      <c r="T14" s="9"/>
      <c r="U14" s="9"/>
      <c r="V14" s="19" t="b">
        <v>0</v>
      </c>
      <c r="W14" s="19" t="b">
        <v>0</v>
      </c>
      <c r="X14" s="31">
        <v>45838</v>
      </c>
      <c r="Y14" s="31">
        <f t="shared" si="0"/>
        <v>45963</v>
      </c>
      <c r="Z14" s="13">
        <v>1</v>
      </c>
      <c r="AA14" s="13" t="s">
        <v>136</v>
      </c>
      <c r="AB14" s="13">
        <v>1</v>
      </c>
      <c r="AC14" s="13" t="s">
        <v>136</v>
      </c>
      <c r="AD14" s="13" t="s">
        <v>136</v>
      </c>
      <c r="AE14" s="13" t="s">
        <v>136</v>
      </c>
      <c r="AF14" s="13" t="s">
        <v>136</v>
      </c>
    </row>
    <row r="15" spans="1:32">
      <c r="A15" s="9" t="s">
        <v>97</v>
      </c>
      <c r="B15" s="9" t="s">
        <v>58</v>
      </c>
      <c r="C15" s="9" t="s">
        <v>98</v>
      </c>
      <c r="D15" s="9" t="s">
        <v>67</v>
      </c>
      <c r="E15" s="9" t="s">
        <v>87</v>
      </c>
      <c r="F15" s="9" t="s">
        <v>99</v>
      </c>
      <c r="G15" s="9" t="s">
        <v>62</v>
      </c>
      <c r="H15" s="9">
        <v>542000</v>
      </c>
      <c r="I15" s="9">
        <v>1925621</v>
      </c>
      <c r="J15" s="9">
        <v>10</v>
      </c>
      <c r="K15" s="12">
        <v>250</v>
      </c>
      <c r="L15" s="12">
        <v>500</v>
      </c>
      <c r="M15" s="9">
        <v>250</v>
      </c>
      <c r="N15" s="9" t="b">
        <v>0</v>
      </c>
      <c r="O15" s="9"/>
      <c r="P15" s="9"/>
      <c r="Q15" s="9"/>
      <c r="R15" s="9"/>
      <c r="S15" s="9" t="b">
        <v>0</v>
      </c>
      <c r="T15" s="9"/>
      <c r="U15" s="9"/>
      <c r="V15" s="19" t="b">
        <v>0</v>
      </c>
      <c r="W15" s="19" t="b">
        <v>0</v>
      </c>
      <c r="X15" s="31">
        <v>45838</v>
      </c>
      <c r="Y15" s="31">
        <f t="shared" si="0"/>
        <v>46338</v>
      </c>
      <c r="Z15" s="13">
        <v>1</v>
      </c>
      <c r="AA15" s="13" t="s">
        <v>136</v>
      </c>
      <c r="AB15" s="13">
        <v>1</v>
      </c>
      <c r="AC15" s="13" t="s">
        <v>136</v>
      </c>
      <c r="AD15" s="13" t="s">
        <v>136</v>
      </c>
      <c r="AE15" s="13" t="s">
        <v>136</v>
      </c>
      <c r="AF15" s="13" t="s">
        <v>136</v>
      </c>
    </row>
    <row r="16" spans="1:32">
      <c r="A16" s="20" t="s">
        <v>57</v>
      </c>
      <c r="B16" s="20" t="s">
        <v>100</v>
      </c>
      <c r="C16" s="20" t="s">
        <v>118</v>
      </c>
      <c r="D16" s="20" t="s">
        <v>67</v>
      </c>
      <c r="E16" s="21" t="s">
        <v>61</v>
      </c>
      <c r="F16" s="21" t="s">
        <v>62</v>
      </c>
      <c r="G16" s="21" t="s">
        <v>62</v>
      </c>
      <c r="H16" s="20">
        <v>11107</v>
      </c>
      <c r="I16" s="20">
        <v>9000000</v>
      </c>
      <c r="J16" s="20">
        <v>40</v>
      </c>
      <c r="K16" s="20">
        <v>0</v>
      </c>
      <c r="L16" s="20">
        <v>2353</v>
      </c>
      <c r="M16" s="20">
        <v>2353</v>
      </c>
      <c r="N16" s="20" t="b">
        <v>0</v>
      </c>
      <c r="O16" s="20"/>
      <c r="P16" s="20"/>
      <c r="Q16" s="20"/>
      <c r="R16" s="20"/>
      <c r="S16" s="20" t="b">
        <v>0</v>
      </c>
      <c r="T16" s="20"/>
      <c r="U16" s="20"/>
      <c r="V16" s="20" t="b">
        <v>0</v>
      </c>
      <c r="W16" s="20" t="b">
        <v>1</v>
      </c>
      <c r="X16" s="31">
        <v>45838</v>
      </c>
      <c r="Y16" s="31">
        <f t="shared" si="0"/>
        <v>48191</v>
      </c>
      <c r="Z16" s="13">
        <v>1</v>
      </c>
      <c r="AA16" s="13" t="s">
        <v>136</v>
      </c>
      <c r="AB16" s="13">
        <v>1</v>
      </c>
      <c r="AC16" s="13" t="s">
        <v>136</v>
      </c>
      <c r="AD16" s="13" t="s">
        <v>137</v>
      </c>
      <c r="AE16" s="13" t="s">
        <v>136</v>
      </c>
      <c r="AF16" s="13" t="s">
        <v>137</v>
      </c>
    </row>
    <row r="17" spans="1:32">
      <c r="A17" s="20" t="s">
        <v>63</v>
      </c>
      <c r="B17" s="20" t="s">
        <v>100</v>
      </c>
      <c r="C17" s="20" t="s">
        <v>59</v>
      </c>
      <c r="D17" s="20" t="s">
        <v>67</v>
      </c>
      <c r="E17" s="21" t="s">
        <v>61</v>
      </c>
      <c r="F17" s="21" t="s">
        <v>62</v>
      </c>
      <c r="G17" s="21" t="s">
        <v>62</v>
      </c>
      <c r="H17" s="20">
        <v>11107</v>
      </c>
      <c r="I17" s="20">
        <v>9000000</v>
      </c>
      <c r="J17" s="20">
        <v>40</v>
      </c>
      <c r="K17" s="20">
        <v>0</v>
      </c>
      <c r="L17" s="20">
        <v>2353</v>
      </c>
      <c r="M17" s="20">
        <v>2353</v>
      </c>
      <c r="N17" s="20" t="b">
        <v>0</v>
      </c>
      <c r="O17" s="20"/>
      <c r="P17" s="20"/>
      <c r="Q17" s="20"/>
      <c r="R17" s="20"/>
      <c r="S17" s="20" t="b">
        <v>0</v>
      </c>
      <c r="T17" s="20"/>
      <c r="U17" s="20"/>
      <c r="V17" s="20" t="b">
        <v>1</v>
      </c>
      <c r="W17" s="20" t="b">
        <v>0</v>
      </c>
      <c r="X17" s="31">
        <v>45838</v>
      </c>
      <c r="Y17" s="31">
        <f t="shared" si="0"/>
        <v>48191</v>
      </c>
      <c r="Z17" s="13">
        <v>1</v>
      </c>
      <c r="AA17" s="13" t="s">
        <v>136</v>
      </c>
      <c r="AB17" s="13">
        <v>1</v>
      </c>
      <c r="AC17" s="13" t="s">
        <v>136</v>
      </c>
      <c r="AD17" s="13" t="s">
        <v>137</v>
      </c>
      <c r="AE17" s="13" t="s">
        <v>136</v>
      </c>
      <c r="AF17" s="13" t="s">
        <v>137</v>
      </c>
    </row>
    <row r="18" spans="1:32">
      <c r="A18" s="22" t="s">
        <v>64</v>
      </c>
      <c r="B18" s="20" t="s">
        <v>100</v>
      </c>
      <c r="C18" s="22" t="s">
        <v>59</v>
      </c>
      <c r="D18" s="20" t="s">
        <v>67</v>
      </c>
      <c r="E18" s="21" t="s">
        <v>61</v>
      </c>
      <c r="F18" s="21" t="s">
        <v>62</v>
      </c>
      <c r="G18" s="21" t="s">
        <v>62</v>
      </c>
      <c r="H18" s="20">
        <v>11107</v>
      </c>
      <c r="I18" s="22">
        <v>9000000</v>
      </c>
      <c r="J18" s="22">
        <v>40</v>
      </c>
      <c r="K18" s="22">
        <v>0</v>
      </c>
      <c r="L18" s="22">
        <v>2353</v>
      </c>
      <c r="M18" s="22">
        <v>2353</v>
      </c>
      <c r="N18" s="22" t="b">
        <v>0</v>
      </c>
      <c r="O18" s="22"/>
      <c r="P18" s="22"/>
      <c r="Q18" s="22"/>
      <c r="R18" s="22"/>
      <c r="S18" s="22" t="b">
        <v>0</v>
      </c>
      <c r="T18" s="22"/>
      <c r="U18" s="22"/>
      <c r="V18" s="22" t="b">
        <v>0</v>
      </c>
      <c r="W18" s="22" t="b">
        <v>0</v>
      </c>
      <c r="X18" s="31">
        <v>45838</v>
      </c>
      <c r="Y18" s="31">
        <f t="shared" si="0"/>
        <v>48191</v>
      </c>
      <c r="Z18" s="13">
        <v>1</v>
      </c>
      <c r="AA18" s="13" t="s">
        <v>136</v>
      </c>
      <c r="AB18" s="13">
        <v>1</v>
      </c>
      <c r="AC18" s="13" t="s">
        <v>136</v>
      </c>
      <c r="AD18" s="13" t="s">
        <v>137</v>
      </c>
      <c r="AE18" s="13" t="s">
        <v>136</v>
      </c>
      <c r="AF18" s="13" t="s">
        <v>137</v>
      </c>
    </row>
    <row r="19" spans="1:32">
      <c r="A19" s="22" t="s">
        <v>65</v>
      </c>
      <c r="B19" s="20" t="s">
        <v>100</v>
      </c>
      <c r="C19" s="20" t="s">
        <v>59</v>
      </c>
      <c r="D19" s="20" t="s">
        <v>67</v>
      </c>
      <c r="E19" s="21" t="s">
        <v>61</v>
      </c>
      <c r="F19" s="21" t="s">
        <v>62</v>
      </c>
      <c r="G19" s="21" t="s">
        <v>62</v>
      </c>
      <c r="H19" s="20">
        <v>16660</v>
      </c>
      <c r="I19" s="20">
        <v>36000000</v>
      </c>
      <c r="J19" s="20">
        <v>40</v>
      </c>
      <c r="K19" s="20">
        <v>0</v>
      </c>
      <c r="L19" s="20">
        <v>961</v>
      </c>
      <c r="M19" s="20">
        <v>961</v>
      </c>
      <c r="N19" s="20" t="b">
        <v>0</v>
      </c>
      <c r="O19" s="20"/>
      <c r="P19" s="20"/>
      <c r="Q19" s="20"/>
      <c r="R19" s="20"/>
      <c r="S19" s="20" t="b">
        <v>0</v>
      </c>
      <c r="T19" s="20"/>
      <c r="U19" s="20"/>
      <c r="V19" s="22" t="b">
        <v>0</v>
      </c>
      <c r="W19" s="22" t="b">
        <v>0</v>
      </c>
      <c r="X19" s="31">
        <v>45838</v>
      </c>
      <c r="Y19" s="31">
        <f t="shared" si="0"/>
        <v>46799</v>
      </c>
      <c r="Z19" s="13">
        <v>1</v>
      </c>
      <c r="AA19" s="13" t="s">
        <v>136</v>
      </c>
      <c r="AB19" s="13">
        <v>1</v>
      </c>
      <c r="AC19" s="13" t="s">
        <v>136</v>
      </c>
      <c r="AD19" s="13" t="s">
        <v>137</v>
      </c>
      <c r="AE19" s="13" t="s">
        <v>136</v>
      </c>
      <c r="AF19" s="13" t="s">
        <v>137</v>
      </c>
    </row>
    <row r="20" spans="1:32">
      <c r="A20" s="22" t="s">
        <v>70</v>
      </c>
      <c r="B20" s="20" t="s">
        <v>100</v>
      </c>
      <c r="C20" s="20" t="s">
        <v>59</v>
      </c>
      <c r="D20" s="20" t="s">
        <v>67</v>
      </c>
      <c r="E20" s="21" t="s">
        <v>61</v>
      </c>
      <c r="F20" s="21" t="s">
        <v>62</v>
      </c>
      <c r="G20" s="21" t="s">
        <v>62</v>
      </c>
      <c r="H20" s="20">
        <v>5553</v>
      </c>
      <c r="I20" s="20">
        <v>4000000</v>
      </c>
      <c r="J20" s="20">
        <v>40</v>
      </c>
      <c r="K20" s="20">
        <v>0</v>
      </c>
      <c r="L20" s="20">
        <v>199</v>
      </c>
      <c r="M20" s="20">
        <v>199</v>
      </c>
      <c r="N20" s="20" t="b">
        <v>0</v>
      </c>
      <c r="O20" s="20"/>
      <c r="P20" s="20"/>
      <c r="Q20" s="20"/>
      <c r="R20" s="20"/>
      <c r="S20" s="20" t="b">
        <v>0</v>
      </c>
      <c r="T20" s="20"/>
      <c r="U20" s="20"/>
      <c r="V20" s="22" t="b">
        <v>0</v>
      </c>
      <c r="W20" s="22" t="b">
        <v>0</v>
      </c>
      <c r="X20" s="31">
        <v>45838</v>
      </c>
      <c r="Y20" s="31">
        <f t="shared" si="0"/>
        <v>46037</v>
      </c>
      <c r="Z20" s="13">
        <v>1</v>
      </c>
      <c r="AA20" s="13" t="s">
        <v>136</v>
      </c>
      <c r="AB20" s="13">
        <v>1</v>
      </c>
      <c r="AC20" s="13" t="s">
        <v>136</v>
      </c>
      <c r="AD20" s="13" t="s">
        <v>137</v>
      </c>
      <c r="AE20" s="13" t="s">
        <v>136</v>
      </c>
      <c r="AF20" s="13" t="s">
        <v>137</v>
      </c>
    </row>
    <row r="21" spans="1:32">
      <c r="A21" s="22" t="s">
        <v>75</v>
      </c>
      <c r="B21" s="20" t="s">
        <v>100</v>
      </c>
      <c r="C21" s="22" t="s">
        <v>101</v>
      </c>
      <c r="D21" s="22" t="s">
        <v>60</v>
      </c>
      <c r="E21" s="22" t="s">
        <v>68</v>
      </c>
      <c r="F21" s="22" t="s">
        <v>73</v>
      </c>
      <c r="G21" s="22" t="s">
        <v>62</v>
      </c>
      <c r="H21" s="22">
        <v>-25040</v>
      </c>
      <c r="I21" s="22">
        <v>5506800</v>
      </c>
      <c r="J21" s="22">
        <v>40</v>
      </c>
      <c r="K21" s="22">
        <v>0</v>
      </c>
      <c r="L21" s="22">
        <v>250</v>
      </c>
      <c r="M21" s="22">
        <v>250</v>
      </c>
      <c r="N21" s="22" t="b">
        <v>0</v>
      </c>
      <c r="O21" s="22"/>
      <c r="P21" s="22"/>
      <c r="Q21" s="22"/>
      <c r="R21" s="22"/>
      <c r="S21" s="22" t="b">
        <v>1</v>
      </c>
      <c r="T21" s="22">
        <v>0</v>
      </c>
      <c r="U21" s="22">
        <v>0.04</v>
      </c>
      <c r="V21" s="22" t="b">
        <v>0</v>
      </c>
      <c r="W21" s="22" t="b">
        <v>0</v>
      </c>
      <c r="X21" s="31">
        <v>45838</v>
      </c>
      <c r="Y21" s="31">
        <f t="shared" si="0"/>
        <v>46088</v>
      </c>
      <c r="Z21" s="13">
        <v>-9.6153846153846096</v>
      </c>
      <c r="AA21" s="13" t="s">
        <v>136</v>
      </c>
      <c r="AB21" s="13">
        <v>1</v>
      </c>
      <c r="AC21" s="13" t="s">
        <v>136</v>
      </c>
      <c r="AD21" s="13" t="s">
        <v>137</v>
      </c>
      <c r="AE21" s="13" t="s">
        <v>136</v>
      </c>
      <c r="AF21" s="13" t="s">
        <v>137</v>
      </c>
    </row>
    <row r="22" spans="1:32">
      <c r="A22" s="9" t="s">
        <v>57</v>
      </c>
      <c r="B22" s="9" t="s">
        <v>102</v>
      </c>
      <c r="C22" s="9" t="s">
        <v>81</v>
      </c>
      <c r="D22" s="9" t="s">
        <v>67</v>
      </c>
      <c r="E22" s="10" t="s">
        <v>82</v>
      </c>
      <c r="F22" s="10" t="s">
        <v>62</v>
      </c>
      <c r="G22" s="10" t="s">
        <v>62</v>
      </c>
      <c r="H22" s="17">
        <v>813000</v>
      </c>
      <c r="I22" s="1">
        <v>6883500</v>
      </c>
      <c r="J22" s="9"/>
      <c r="K22" s="18">
        <v>0</v>
      </c>
      <c r="L22" s="18">
        <v>250</v>
      </c>
      <c r="M22" s="9">
        <v>250</v>
      </c>
      <c r="N22" s="9" t="b">
        <v>1</v>
      </c>
      <c r="O22" s="9" t="s">
        <v>74</v>
      </c>
      <c r="P22" s="1">
        <v>4589</v>
      </c>
      <c r="Q22" s="1">
        <v>4589</v>
      </c>
      <c r="R22" s="1">
        <v>250</v>
      </c>
      <c r="S22" s="9" t="b">
        <v>0</v>
      </c>
      <c r="T22" s="9"/>
      <c r="U22" s="9"/>
      <c r="V22" s="9" t="b">
        <v>0</v>
      </c>
      <c r="W22" s="9" t="b">
        <v>0</v>
      </c>
      <c r="X22" s="31">
        <v>45838</v>
      </c>
      <c r="Y22" s="31">
        <f t="shared" si="0"/>
        <v>46088</v>
      </c>
      <c r="Z22" s="13">
        <v>0.64616976667272297</v>
      </c>
      <c r="AA22" s="13" t="s">
        <v>136</v>
      </c>
      <c r="AB22" s="13">
        <v>1</v>
      </c>
      <c r="AC22" s="13" t="s">
        <v>136</v>
      </c>
      <c r="AD22" s="13" t="s">
        <v>136</v>
      </c>
      <c r="AE22" s="13" t="s">
        <v>136</v>
      </c>
      <c r="AF22" s="13" t="s">
        <v>136</v>
      </c>
    </row>
    <row r="23" spans="1:32">
      <c r="A23" s="9" t="s">
        <v>63</v>
      </c>
      <c r="B23" s="9" t="s">
        <v>102</v>
      </c>
      <c r="C23" s="9" t="s">
        <v>84</v>
      </c>
      <c r="D23" s="9" t="s">
        <v>67</v>
      </c>
      <c r="E23" s="10" t="s">
        <v>82</v>
      </c>
      <c r="F23" s="10" t="s">
        <v>62</v>
      </c>
      <c r="G23" s="10" t="s">
        <v>62</v>
      </c>
      <c r="H23" s="17">
        <v>-459120</v>
      </c>
      <c r="I23" s="1">
        <v>5139168</v>
      </c>
      <c r="J23" s="9"/>
      <c r="K23" s="18">
        <v>0</v>
      </c>
      <c r="L23" s="18">
        <v>250</v>
      </c>
      <c r="M23" s="9">
        <v>250</v>
      </c>
      <c r="N23" s="9" t="b">
        <v>1</v>
      </c>
      <c r="O23" s="9" t="s">
        <v>74</v>
      </c>
      <c r="P23" s="1">
        <v>4282.6400000000003</v>
      </c>
      <c r="Q23" s="1">
        <v>4282.6400000000003</v>
      </c>
      <c r="R23" s="1">
        <v>250</v>
      </c>
      <c r="S23" s="9" t="b">
        <v>0</v>
      </c>
      <c r="T23" s="9"/>
      <c r="U23" s="9"/>
      <c r="V23" s="9" t="b">
        <v>0</v>
      </c>
      <c r="W23" s="9" t="b">
        <v>0</v>
      </c>
      <c r="X23" s="31">
        <v>45838</v>
      </c>
      <c r="Y23" s="31">
        <f t="shared" si="0"/>
        <v>46088</v>
      </c>
      <c r="Z23" s="13">
        <v>0.64616976667272297</v>
      </c>
      <c r="AA23" s="13" t="s">
        <v>136</v>
      </c>
      <c r="AB23" s="13">
        <v>1</v>
      </c>
      <c r="AC23" s="13" t="s">
        <v>136</v>
      </c>
      <c r="AD23" s="13" t="s">
        <v>136</v>
      </c>
      <c r="AE23" s="13" t="s">
        <v>136</v>
      </c>
      <c r="AF23" s="13" t="s">
        <v>136</v>
      </c>
    </row>
    <row r="24" spans="1:32">
      <c r="A24" s="9" t="s">
        <v>64</v>
      </c>
      <c r="B24" s="9" t="s">
        <v>102</v>
      </c>
      <c r="C24" s="9" t="s">
        <v>76</v>
      </c>
      <c r="D24" s="9" t="s">
        <v>60</v>
      </c>
      <c r="E24" s="10" t="s">
        <v>77</v>
      </c>
      <c r="F24" s="10" t="s">
        <v>62</v>
      </c>
      <c r="G24" s="10" t="s">
        <v>62</v>
      </c>
      <c r="H24" s="9">
        <v>-8291</v>
      </c>
      <c r="I24" s="9">
        <v>131766.9</v>
      </c>
      <c r="J24" s="9"/>
      <c r="K24" s="12">
        <v>0</v>
      </c>
      <c r="L24" s="12">
        <v>158</v>
      </c>
      <c r="M24" s="9">
        <v>158</v>
      </c>
      <c r="N24" s="9" t="b">
        <v>0</v>
      </c>
      <c r="O24" s="9"/>
      <c r="P24" s="9"/>
      <c r="Q24" s="9"/>
      <c r="R24" s="9"/>
      <c r="S24" s="9" t="b">
        <v>0</v>
      </c>
      <c r="T24" s="9"/>
      <c r="U24" s="9"/>
      <c r="V24" s="9" t="b">
        <v>0</v>
      </c>
      <c r="W24" s="9" t="b">
        <v>0</v>
      </c>
      <c r="X24" s="31">
        <v>45838</v>
      </c>
      <c r="Y24" s="31">
        <f t="shared" si="0"/>
        <v>45996</v>
      </c>
      <c r="Z24" s="13">
        <v>-1</v>
      </c>
      <c r="AA24" s="13" t="s">
        <v>136</v>
      </c>
      <c r="AB24" s="13">
        <v>1</v>
      </c>
      <c r="AC24" s="13" t="s">
        <v>136</v>
      </c>
      <c r="AD24" s="13" t="s">
        <v>136</v>
      </c>
      <c r="AE24" s="13" t="s">
        <v>136</v>
      </c>
      <c r="AF24" s="13" t="s">
        <v>136</v>
      </c>
    </row>
    <row r="25" spans="1:32">
      <c r="A25" s="9" t="s">
        <v>65</v>
      </c>
      <c r="B25" s="9" t="s">
        <v>102</v>
      </c>
      <c r="C25" s="9" t="s">
        <v>79</v>
      </c>
      <c r="D25" s="9" t="s">
        <v>60</v>
      </c>
      <c r="E25" s="10" t="s">
        <v>77</v>
      </c>
      <c r="F25" s="10" t="s">
        <v>62</v>
      </c>
      <c r="G25" s="10" t="s">
        <v>62</v>
      </c>
      <c r="H25" s="9">
        <v>-5300</v>
      </c>
      <c r="I25" s="9">
        <v>27663.040000000001</v>
      </c>
      <c r="J25" s="9"/>
      <c r="K25" s="12">
        <v>0</v>
      </c>
      <c r="L25" s="12">
        <v>220</v>
      </c>
      <c r="M25" s="9">
        <v>220</v>
      </c>
      <c r="N25" s="9" t="b">
        <v>0</v>
      </c>
      <c r="O25" s="9"/>
      <c r="P25" s="9"/>
      <c r="Q25" s="9"/>
      <c r="R25" s="9"/>
      <c r="S25" s="9" t="b">
        <v>0</v>
      </c>
      <c r="T25" s="9"/>
      <c r="U25" s="9"/>
      <c r="V25" s="9" t="b">
        <v>0</v>
      </c>
      <c r="W25" s="9" t="b">
        <v>0</v>
      </c>
      <c r="X25" s="31">
        <v>45838</v>
      </c>
      <c r="Y25" s="31">
        <f t="shared" si="0"/>
        <v>46058</v>
      </c>
      <c r="Z25" s="13">
        <v>-1</v>
      </c>
      <c r="AA25" s="13" t="s">
        <v>136</v>
      </c>
      <c r="AB25" s="13">
        <v>1</v>
      </c>
      <c r="AC25" s="13" t="s">
        <v>136</v>
      </c>
      <c r="AD25" s="13" t="s">
        <v>136</v>
      </c>
      <c r="AE25" s="13" t="s">
        <v>136</v>
      </c>
      <c r="AF25" s="13" t="s">
        <v>136</v>
      </c>
    </row>
    <row r="26" spans="1:32">
      <c r="A26" s="20" t="s">
        <v>57</v>
      </c>
      <c r="B26" s="20" t="s">
        <v>103</v>
      </c>
      <c r="C26" s="20" t="s">
        <v>81</v>
      </c>
      <c r="D26" s="20" t="s">
        <v>67</v>
      </c>
      <c r="E26" s="21" t="s">
        <v>82</v>
      </c>
      <c r="F26" s="21" t="s">
        <v>62</v>
      </c>
      <c r="G26" s="21" t="s">
        <v>62</v>
      </c>
      <c r="H26" s="23">
        <v>813000</v>
      </c>
      <c r="I26" s="7">
        <v>6883500</v>
      </c>
      <c r="J26" s="20">
        <v>10</v>
      </c>
      <c r="K26" s="24">
        <v>0</v>
      </c>
      <c r="L26" s="24">
        <v>250</v>
      </c>
      <c r="M26" s="20">
        <v>250</v>
      </c>
      <c r="N26" s="20" t="b">
        <v>1</v>
      </c>
      <c r="O26" s="20" t="s">
        <v>74</v>
      </c>
      <c r="P26" s="7">
        <v>4589</v>
      </c>
      <c r="Q26" s="7">
        <v>4589</v>
      </c>
      <c r="R26" s="7">
        <v>250</v>
      </c>
      <c r="S26" s="20" t="b">
        <v>0</v>
      </c>
      <c r="T26" s="20"/>
      <c r="U26" s="20"/>
      <c r="V26" s="20" t="b">
        <v>0</v>
      </c>
      <c r="W26" s="20" t="b">
        <v>0</v>
      </c>
      <c r="X26" s="31">
        <v>45838</v>
      </c>
      <c r="Y26" s="31">
        <f t="shared" si="0"/>
        <v>46088</v>
      </c>
      <c r="Z26" s="13">
        <v>0.64616976667272297</v>
      </c>
      <c r="AA26" s="13" t="s">
        <v>136</v>
      </c>
      <c r="AB26" s="13">
        <v>1</v>
      </c>
      <c r="AC26" s="13" t="s">
        <v>136</v>
      </c>
      <c r="AD26" s="13" t="s">
        <v>136</v>
      </c>
      <c r="AE26" s="13" t="s">
        <v>136</v>
      </c>
      <c r="AF26" s="13" t="s">
        <v>136</v>
      </c>
    </row>
    <row r="27" spans="1:32">
      <c r="A27" s="20" t="s">
        <v>63</v>
      </c>
      <c r="B27" s="20" t="s">
        <v>103</v>
      </c>
      <c r="C27" s="20" t="s">
        <v>84</v>
      </c>
      <c r="D27" s="20" t="s">
        <v>67</v>
      </c>
      <c r="E27" s="21" t="s">
        <v>82</v>
      </c>
      <c r="F27" s="21" t="s">
        <v>62</v>
      </c>
      <c r="G27" s="23" t="s">
        <v>62</v>
      </c>
      <c r="H27" s="23">
        <v>-459120</v>
      </c>
      <c r="I27" s="7">
        <v>5139168</v>
      </c>
      <c r="J27" s="20">
        <v>10</v>
      </c>
      <c r="K27" s="24">
        <v>0</v>
      </c>
      <c r="L27" s="24">
        <v>250</v>
      </c>
      <c r="M27" s="20">
        <v>250</v>
      </c>
      <c r="N27" s="20" t="b">
        <v>1</v>
      </c>
      <c r="O27" s="20" t="s">
        <v>74</v>
      </c>
      <c r="P27" s="7">
        <v>4282.6400000000003</v>
      </c>
      <c r="Q27" s="7">
        <v>4282.6400000000003</v>
      </c>
      <c r="R27" s="7">
        <v>250</v>
      </c>
      <c r="S27" s="20" t="b">
        <v>0</v>
      </c>
      <c r="T27" s="20"/>
      <c r="U27" s="20"/>
      <c r="V27" s="20" t="b">
        <v>0</v>
      </c>
      <c r="W27" s="20" t="b">
        <v>0</v>
      </c>
      <c r="X27" s="31">
        <v>45838</v>
      </c>
      <c r="Y27" s="31">
        <f t="shared" si="0"/>
        <v>46088</v>
      </c>
      <c r="Z27" s="13">
        <v>0.64616976667272297</v>
      </c>
      <c r="AA27" s="13" t="s">
        <v>136</v>
      </c>
      <c r="AB27" s="13">
        <v>1</v>
      </c>
      <c r="AC27" s="13" t="s">
        <v>136</v>
      </c>
      <c r="AD27" s="13" t="s">
        <v>136</v>
      </c>
      <c r="AE27" s="13" t="s">
        <v>136</v>
      </c>
      <c r="AF27" s="13" t="s">
        <v>136</v>
      </c>
    </row>
    <row r="28" spans="1:32">
      <c r="A28" s="20" t="s">
        <v>64</v>
      </c>
      <c r="B28" s="20" t="s">
        <v>103</v>
      </c>
      <c r="C28" s="20" t="s">
        <v>76</v>
      </c>
      <c r="D28" s="20" t="s">
        <v>60</v>
      </c>
      <c r="E28" s="21" t="s">
        <v>77</v>
      </c>
      <c r="F28" s="21" t="s">
        <v>62</v>
      </c>
      <c r="G28" s="21" t="s">
        <v>62</v>
      </c>
      <c r="H28" s="20">
        <v>-8291</v>
      </c>
      <c r="I28" s="20">
        <v>131766.9</v>
      </c>
      <c r="J28" s="20">
        <v>10</v>
      </c>
      <c r="K28" s="25">
        <v>0</v>
      </c>
      <c r="L28" s="25">
        <v>158</v>
      </c>
      <c r="M28" s="20">
        <v>158</v>
      </c>
      <c r="N28" s="20" t="b">
        <v>0</v>
      </c>
      <c r="O28" s="20"/>
      <c r="P28" s="20"/>
      <c r="Q28" s="20"/>
      <c r="R28" s="20"/>
      <c r="S28" s="20" t="b">
        <v>0</v>
      </c>
      <c r="T28" s="20"/>
      <c r="U28" s="20"/>
      <c r="V28" s="20" t="b">
        <v>0</v>
      </c>
      <c r="W28" s="20" t="b">
        <v>0</v>
      </c>
      <c r="X28" s="31">
        <v>45838</v>
      </c>
      <c r="Y28" s="31">
        <f t="shared" si="0"/>
        <v>45996</v>
      </c>
      <c r="Z28" s="13">
        <v>-1</v>
      </c>
      <c r="AA28" s="13" t="s">
        <v>136</v>
      </c>
      <c r="AB28" s="13">
        <v>1</v>
      </c>
      <c r="AC28" s="13" t="s">
        <v>136</v>
      </c>
      <c r="AD28" s="13" t="s">
        <v>136</v>
      </c>
      <c r="AE28" s="13" t="s">
        <v>136</v>
      </c>
      <c r="AF28" s="13" t="s">
        <v>136</v>
      </c>
    </row>
    <row r="29" spans="1:32">
      <c r="A29" s="20" t="s">
        <v>65</v>
      </c>
      <c r="B29" s="20" t="s">
        <v>103</v>
      </c>
      <c r="C29" s="20" t="s">
        <v>79</v>
      </c>
      <c r="D29" s="20" t="s">
        <v>60</v>
      </c>
      <c r="E29" s="21" t="s">
        <v>77</v>
      </c>
      <c r="F29" s="21" t="s">
        <v>62</v>
      </c>
      <c r="G29" s="21" t="s">
        <v>62</v>
      </c>
      <c r="H29" s="20">
        <v>-5300</v>
      </c>
      <c r="I29" s="20">
        <v>27663.040000000001</v>
      </c>
      <c r="J29" s="20">
        <v>10</v>
      </c>
      <c r="K29" s="25">
        <v>0</v>
      </c>
      <c r="L29" s="25">
        <v>220</v>
      </c>
      <c r="M29" s="20">
        <v>220</v>
      </c>
      <c r="N29" s="20" t="b">
        <v>0</v>
      </c>
      <c r="O29" s="20"/>
      <c r="P29" s="20"/>
      <c r="Q29" s="20"/>
      <c r="R29" s="20"/>
      <c r="S29" s="20" t="b">
        <v>0</v>
      </c>
      <c r="T29" s="20"/>
      <c r="U29" s="20"/>
      <c r="V29" s="20" t="b">
        <v>0</v>
      </c>
      <c r="W29" s="20" t="b">
        <v>0</v>
      </c>
      <c r="X29" s="31">
        <v>45838</v>
      </c>
      <c r="Y29" s="31">
        <f t="shared" si="0"/>
        <v>46058</v>
      </c>
      <c r="Z29" s="13">
        <v>-1</v>
      </c>
      <c r="AA29" s="13" t="s">
        <v>136</v>
      </c>
      <c r="AB29" s="13">
        <v>1</v>
      </c>
      <c r="AC29" s="13" t="s">
        <v>136</v>
      </c>
      <c r="AD29" s="13" t="s">
        <v>136</v>
      </c>
      <c r="AE29" s="13" t="s">
        <v>137</v>
      </c>
      <c r="AF29" s="13" t="s">
        <v>137</v>
      </c>
    </row>
    <row r="30" spans="1:32">
      <c r="A30" s="9" t="s">
        <v>57</v>
      </c>
      <c r="B30" s="9" t="s">
        <v>124</v>
      </c>
      <c r="C30" s="9" t="s">
        <v>118</v>
      </c>
      <c r="D30" s="9" t="s">
        <v>67</v>
      </c>
      <c r="E30" s="9" t="s">
        <v>61</v>
      </c>
      <c r="F30" s="9" t="s">
        <v>62</v>
      </c>
      <c r="G30" s="9" t="s">
        <v>62</v>
      </c>
      <c r="H30" s="9">
        <v>11107</v>
      </c>
      <c r="I30" s="9">
        <v>9000000</v>
      </c>
      <c r="J30" s="9">
        <v>40</v>
      </c>
      <c r="K30" s="9">
        <v>0</v>
      </c>
      <c r="L30" s="9">
        <v>2353</v>
      </c>
      <c r="M30" s="9">
        <v>2353</v>
      </c>
      <c r="N30" s="9" t="b">
        <v>0</v>
      </c>
      <c r="O30" s="9"/>
      <c r="P30" s="9"/>
      <c r="Q30" s="9"/>
      <c r="R30" s="9"/>
      <c r="S30" s="9" t="b">
        <v>0</v>
      </c>
      <c r="T30" s="9"/>
      <c r="U30" s="9"/>
      <c r="V30" s="9" t="b">
        <v>0</v>
      </c>
      <c r="W30" s="9" t="b">
        <v>1</v>
      </c>
      <c r="X30" s="31">
        <v>45838</v>
      </c>
      <c r="Y30" s="32">
        <v>45838</v>
      </c>
      <c r="Z30" s="13">
        <v>1</v>
      </c>
      <c r="AA30" s="13" t="s">
        <v>136</v>
      </c>
      <c r="AB30" s="13">
        <v>1</v>
      </c>
      <c r="AC30" s="13" t="s">
        <v>136</v>
      </c>
      <c r="AD30" s="13" t="s">
        <v>136</v>
      </c>
      <c r="AE30" s="13" t="s">
        <v>137</v>
      </c>
      <c r="AF30" s="13" t="s">
        <v>137</v>
      </c>
    </row>
    <row r="31" spans="1:32">
      <c r="A31" s="9" t="s">
        <v>63</v>
      </c>
      <c r="B31" s="9" t="s">
        <v>124</v>
      </c>
      <c r="C31" s="9" t="s">
        <v>59</v>
      </c>
      <c r="D31" s="9" t="s">
        <v>67</v>
      </c>
      <c r="E31" s="9" t="s">
        <v>61</v>
      </c>
      <c r="F31" s="9" t="s">
        <v>62</v>
      </c>
      <c r="G31" s="9" t="s">
        <v>62</v>
      </c>
      <c r="H31" s="9">
        <v>11107</v>
      </c>
      <c r="I31" s="9">
        <v>9000000</v>
      </c>
      <c r="J31" s="9">
        <v>40</v>
      </c>
      <c r="K31" s="9">
        <v>0</v>
      </c>
      <c r="L31" s="9">
        <v>2353</v>
      </c>
      <c r="M31" s="9">
        <v>2353</v>
      </c>
      <c r="N31" s="9" t="b">
        <v>0</v>
      </c>
      <c r="O31" s="9"/>
      <c r="P31" s="9"/>
      <c r="Q31" s="9"/>
      <c r="R31" s="9"/>
      <c r="S31" s="9" t="b">
        <v>0</v>
      </c>
      <c r="T31" s="9"/>
      <c r="U31" s="9"/>
      <c r="V31" s="9" t="b">
        <v>1</v>
      </c>
      <c r="W31" s="9" t="b">
        <v>0</v>
      </c>
      <c r="X31" s="31">
        <v>45838</v>
      </c>
      <c r="Y31" s="31">
        <f t="shared" si="0"/>
        <v>48191</v>
      </c>
      <c r="Z31" s="13">
        <v>1</v>
      </c>
      <c r="AA31" s="13" t="s">
        <v>136</v>
      </c>
      <c r="AB31" s="13">
        <v>1</v>
      </c>
      <c r="AC31" s="13" t="s">
        <v>136</v>
      </c>
      <c r="AD31" s="13" t="s">
        <v>136</v>
      </c>
      <c r="AE31" s="13" t="s">
        <v>137</v>
      </c>
      <c r="AF31" s="13" t="s">
        <v>137</v>
      </c>
    </row>
    <row r="32" spans="1:32">
      <c r="A32" s="9" t="s">
        <v>64</v>
      </c>
      <c r="B32" s="9" t="s">
        <v>124</v>
      </c>
      <c r="C32" s="9" t="s">
        <v>59</v>
      </c>
      <c r="D32" s="9" t="s">
        <v>67</v>
      </c>
      <c r="E32" s="9" t="s">
        <v>61</v>
      </c>
      <c r="F32" s="9" t="s">
        <v>62</v>
      </c>
      <c r="G32" s="9" t="s">
        <v>62</v>
      </c>
      <c r="H32" s="9">
        <v>11107</v>
      </c>
      <c r="I32" s="9">
        <v>9000000</v>
      </c>
      <c r="J32" s="9">
        <v>40</v>
      </c>
      <c r="K32" s="9">
        <v>0</v>
      </c>
      <c r="L32" s="9">
        <v>2353</v>
      </c>
      <c r="M32" s="9">
        <v>2353</v>
      </c>
      <c r="N32" s="9" t="b">
        <v>0</v>
      </c>
      <c r="O32" s="9"/>
      <c r="P32" s="9"/>
      <c r="Q32" s="9"/>
      <c r="R32" s="9"/>
      <c r="S32" s="9" t="b">
        <v>0</v>
      </c>
      <c r="T32" s="9"/>
      <c r="U32" s="9"/>
      <c r="V32" s="9" t="b">
        <v>0</v>
      </c>
      <c r="W32" s="9" t="b">
        <v>0</v>
      </c>
      <c r="X32" s="31">
        <v>45838</v>
      </c>
      <c r="Y32" s="31">
        <f t="shared" si="0"/>
        <v>48191</v>
      </c>
      <c r="Z32" s="13">
        <v>1</v>
      </c>
      <c r="AA32" s="13" t="s">
        <v>136</v>
      </c>
      <c r="AB32" s="13">
        <v>1</v>
      </c>
      <c r="AC32" s="13" t="s">
        <v>136</v>
      </c>
      <c r="AD32" s="13" t="s">
        <v>136</v>
      </c>
      <c r="AE32" s="13" t="s">
        <v>137</v>
      </c>
      <c r="AF32" s="13" t="s">
        <v>137</v>
      </c>
    </row>
    <row r="33" spans="1:32">
      <c r="A33" s="9" t="s">
        <v>65</v>
      </c>
      <c r="B33" s="9" t="s">
        <v>124</v>
      </c>
      <c r="C33" s="9" t="s">
        <v>59</v>
      </c>
      <c r="D33" s="9" t="s">
        <v>67</v>
      </c>
      <c r="E33" s="9" t="s">
        <v>61</v>
      </c>
      <c r="F33" s="9" t="s">
        <v>62</v>
      </c>
      <c r="G33" s="9" t="s">
        <v>62</v>
      </c>
      <c r="H33" s="9">
        <v>16660</v>
      </c>
      <c r="I33" s="9">
        <v>36000000</v>
      </c>
      <c r="J33" s="9">
        <v>40</v>
      </c>
      <c r="K33" s="9">
        <v>0</v>
      </c>
      <c r="L33" s="9">
        <v>961</v>
      </c>
      <c r="M33" s="9">
        <v>961</v>
      </c>
      <c r="N33" s="9" t="b">
        <v>0</v>
      </c>
      <c r="O33" s="9"/>
      <c r="P33" s="9"/>
      <c r="Q33" s="9"/>
      <c r="R33" s="9"/>
      <c r="S33" s="9" t="b">
        <v>0</v>
      </c>
      <c r="T33" s="9"/>
      <c r="U33" s="9"/>
      <c r="V33" s="9" t="b">
        <v>0</v>
      </c>
      <c r="W33" s="9" t="b">
        <v>0</v>
      </c>
      <c r="X33" s="31">
        <v>45838</v>
      </c>
      <c r="Y33" s="31">
        <f t="shared" si="0"/>
        <v>46799</v>
      </c>
      <c r="Z33" s="13">
        <v>1</v>
      </c>
      <c r="AA33" s="13" t="s">
        <v>136</v>
      </c>
      <c r="AB33" s="13">
        <v>1</v>
      </c>
      <c r="AC33" s="13" t="s">
        <v>136</v>
      </c>
      <c r="AD33" s="13" t="s">
        <v>136</v>
      </c>
      <c r="AE33" s="13" t="s">
        <v>137</v>
      </c>
      <c r="AF33" s="13" t="s">
        <v>137</v>
      </c>
    </row>
    <row r="34" spans="1:32">
      <c r="A34" s="9" t="s">
        <v>70</v>
      </c>
      <c r="B34" s="9" t="s">
        <v>124</v>
      </c>
      <c r="C34" s="9" t="s">
        <v>59</v>
      </c>
      <c r="D34" s="9" t="s">
        <v>67</v>
      </c>
      <c r="E34" s="9" t="s">
        <v>61</v>
      </c>
      <c r="F34" s="9" t="s">
        <v>62</v>
      </c>
      <c r="G34" s="9" t="s">
        <v>62</v>
      </c>
      <c r="H34" s="9">
        <v>5553</v>
      </c>
      <c r="I34" s="9">
        <v>4000000</v>
      </c>
      <c r="J34" s="9">
        <v>40</v>
      </c>
      <c r="K34" s="9">
        <v>0</v>
      </c>
      <c r="L34" s="9">
        <v>199</v>
      </c>
      <c r="M34" s="9">
        <v>199</v>
      </c>
      <c r="N34" s="9" t="b">
        <v>0</v>
      </c>
      <c r="O34" s="9"/>
      <c r="P34" s="9"/>
      <c r="Q34" s="9"/>
      <c r="R34" s="9"/>
      <c r="S34" s="9" t="b">
        <v>0</v>
      </c>
      <c r="T34" s="9"/>
      <c r="U34" s="9"/>
      <c r="V34" s="9" t="b">
        <v>0</v>
      </c>
      <c r="W34" s="9" t="b">
        <v>0</v>
      </c>
      <c r="X34" s="31">
        <v>45838</v>
      </c>
      <c r="Y34" s="31">
        <f t="shared" si="0"/>
        <v>46037</v>
      </c>
      <c r="Z34" s="13">
        <v>1</v>
      </c>
      <c r="AA34" s="13" t="s">
        <v>136</v>
      </c>
      <c r="AB34" s="13">
        <v>1</v>
      </c>
      <c r="AC34" s="13" t="s">
        <v>136</v>
      </c>
      <c r="AD34" s="13" t="s">
        <v>136</v>
      </c>
      <c r="AE34" s="13" t="s">
        <v>137</v>
      </c>
      <c r="AF34" s="13" t="s">
        <v>137</v>
      </c>
    </row>
    <row r="35" spans="1:32">
      <c r="A35" s="9" t="s">
        <v>75</v>
      </c>
      <c r="B35" s="9" t="s">
        <v>124</v>
      </c>
      <c r="C35" s="9" t="s">
        <v>101</v>
      </c>
      <c r="D35" s="9" t="s">
        <v>60</v>
      </c>
      <c r="E35" s="9" t="s">
        <v>68</v>
      </c>
      <c r="F35" s="9" t="s">
        <v>73</v>
      </c>
      <c r="G35" s="9" t="s">
        <v>62</v>
      </c>
      <c r="H35" s="9">
        <v>-25040</v>
      </c>
      <c r="I35" s="9">
        <v>5506800</v>
      </c>
      <c r="J35" s="9">
        <v>40</v>
      </c>
      <c r="K35" s="9">
        <v>0</v>
      </c>
      <c r="L35" s="9">
        <v>250</v>
      </c>
      <c r="M35" s="9">
        <v>250</v>
      </c>
      <c r="N35" s="9" t="b">
        <v>0</v>
      </c>
      <c r="O35" s="9"/>
      <c r="P35" s="9"/>
      <c r="Q35" s="9"/>
      <c r="R35" s="9"/>
      <c r="S35" s="9" t="b">
        <v>1</v>
      </c>
      <c r="T35" s="9">
        <v>0</v>
      </c>
      <c r="U35" s="9">
        <v>0.04</v>
      </c>
      <c r="V35" s="9" t="b">
        <v>0</v>
      </c>
      <c r="W35" s="9" t="b">
        <v>0</v>
      </c>
      <c r="X35" s="31">
        <v>45838</v>
      </c>
      <c r="Y35" s="31">
        <f t="shared" si="0"/>
        <v>46088</v>
      </c>
      <c r="Z35" s="13">
        <v>-9.6153846153846096</v>
      </c>
      <c r="AA35" s="13" t="s">
        <v>136</v>
      </c>
      <c r="AB35" s="13">
        <v>1</v>
      </c>
      <c r="AC35" s="13" t="s">
        <v>136</v>
      </c>
      <c r="AD35" s="13" t="s">
        <v>136</v>
      </c>
      <c r="AE35" s="13" t="s">
        <v>137</v>
      </c>
      <c r="AF35" s="13" t="s">
        <v>137</v>
      </c>
    </row>
    <row r="36" spans="1:32">
      <c r="A36" s="33" t="s">
        <v>57</v>
      </c>
      <c r="B36" s="33" t="s">
        <v>126</v>
      </c>
      <c r="C36" s="33" t="s">
        <v>84</v>
      </c>
      <c r="D36" s="33" t="s">
        <v>60</v>
      </c>
      <c r="E36" s="33" t="s">
        <v>82</v>
      </c>
      <c r="F36" s="33" t="s">
        <v>62</v>
      </c>
      <c r="G36" s="33" t="s">
        <v>62</v>
      </c>
      <c r="H36" s="33">
        <v>-459120</v>
      </c>
      <c r="I36" s="33">
        <v>5139168</v>
      </c>
      <c r="J36" s="33">
        <v>10</v>
      </c>
      <c r="K36" s="33">
        <v>0</v>
      </c>
      <c r="L36" s="33">
        <v>250</v>
      </c>
      <c r="M36" s="33">
        <v>250</v>
      </c>
      <c r="N36" s="33" t="b">
        <v>1</v>
      </c>
      <c r="O36" s="33" t="s">
        <v>74</v>
      </c>
      <c r="P36" s="33">
        <v>4282.6400000000003</v>
      </c>
      <c r="Q36" s="33">
        <v>4282.6400000000003</v>
      </c>
      <c r="R36" s="33">
        <v>250</v>
      </c>
      <c r="S36" s="33" t="b">
        <v>0</v>
      </c>
      <c r="T36" s="33"/>
      <c r="U36" s="33"/>
      <c r="V36" s="33" t="b">
        <v>0</v>
      </c>
      <c r="W36" s="33" t="b">
        <v>0</v>
      </c>
      <c r="X36" s="31">
        <v>45838</v>
      </c>
      <c r="Y36" s="31">
        <f t="shared" si="0"/>
        <v>46088</v>
      </c>
      <c r="Z36" s="34">
        <v>-3</v>
      </c>
      <c r="AA36" s="13" t="s">
        <v>136</v>
      </c>
      <c r="AB36" s="13">
        <v>1</v>
      </c>
      <c r="AC36" s="13" t="s">
        <v>136</v>
      </c>
      <c r="AD36" s="13" t="s">
        <v>136</v>
      </c>
      <c r="AE36" s="13" t="s">
        <v>136</v>
      </c>
      <c r="AF36" s="13" t="s">
        <v>136</v>
      </c>
    </row>
    <row r="37" spans="1:32">
      <c r="A37" s="9" t="s">
        <v>57</v>
      </c>
      <c r="B37" s="9" t="s">
        <v>138</v>
      </c>
      <c r="C37" s="9" t="s">
        <v>118</v>
      </c>
      <c r="D37" s="9" t="s">
        <v>67</v>
      </c>
      <c r="E37" s="9" t="s">
        <v>61</v>
      </c>
      <c r="F37" s="9" t="s">
        <v>62</v>
      </c>
      <c r="G37" s="9" t="s">
        <v>62</v>
      </c>
      <c r="H37" s="9">
        <v>11107</v>
      </c>
      <c r="I37" s="9">
        <v>9000000</v>
      </c>
      <c r="J37" s="9">
        <v>40</v>
      </c>
      <c r="K37" s="9">
        <v>0</v>
      </c>
      <c r="L37" s="9">
        <v>2353</v>
      </c>
      <c r="M37" s="9">
        <v>2353</v>
      </c>
      <c r="N37" s="9" t="b">
        <v>0</v>
      </c>
      <c r="O37" s="9"/>
      <c r="P37" s="9"/>
      <c r="Q37" s="9"/>
      <c r="R37" s="9"/>
      <c r="S37" s="9" t="b">
        <v>0</v>
      </c>
      <c r="T37" s="9"/>
      <c r="U37" s="9"/>
      <c r="V37" s="9" t="b">
        <v>0</v>
      </c>
      <c r="W37" s="9" t="b">
        <v>1</v>
      </c>
      <c r="X37" s="31">
        <v>45838</v>
      </c>
      <c r="Y37" s="32">
        <v>45838</v>
      </c>
      <c r="Z37" s="13">
        <v>1</v>
      </c>
      <c r="AA37" s="13" t="s">
        <v>136</v>
      </c>
      <c r="AB37" s="13">
        <v>1</v>
      </c>
      <c r="AC37" s="13" t="s">
        <v>136</v>
      </c>
      <c r="AD37" s="13" t="s">
        <v>136</v>
      </c>
      <c r="AE37" s="13" t="s">
        <v>137</v>
      </c>
      <c r="AF37" s="36" t="s">
        <v>136</v>
      </c>
    </row>
    <row r="38" spans="1:32">
      <c r="A38" s="9" t="s">
        <v>63</v>
      </c>
      <c r="B38" s="9" t="s">
        <v>138</v>
      </c>
      <c r="C38" s="9" t="s">
        <v>59</v>
      </c>
      <c r="D38" s="9" t="s">
        <v>67</v>
      </c>
      <c r="E38" s="9" t="s">
        <v>61</v>
      </c>
      <c r="F38" s="9" t="s">
        <v>62</v>
      </c>
      <c r="G38" s="9" t="s">
        <v>62</v>
      </c>
      <c r="H38" s="9">
        <v>11107</v>
      </c>
      <c r="I38" s="9">
        <v>9000000</v>
      </c>
      <c r="J38" s="9">
        <v>40</v>
      </c>
      <c r="K38" s="9">
        <v>0</v>
      </c>
      <c r="L38" s="9">
        <v>2353</v>
      </c>
      <c r="M38" s="9">
        <v>2353</v>
      </c>
      <c r="N38" s="9" t="b">
        <v>0</v>
      </c>
      <c r="O38" s="9"/>
      <c r="P38" s="9"/>
      <c r="Q38" s="9"/>
      <c r="R38" s="9"/>
      <c r="S38" s="9" t="b">
        <v>0</v>
      </c>
      <c r="T38" s="9"/>
      <c r="U38" s="9"/>
      <c r="V38" s="9" t="b">
        <v>1</v>
      </c>
      <c r="W38" s="9" t="b">
        <v>0</v>
      </c>
      <c r="X38" s="31">
        <v>45838</v>
      </c>
      <c r="Y38" s="31">
        <f t="shared" ref="Y38:Y42" si="1">X38+L38</f>
        <v>48191</v>
      </c>
      <c r="Z38" s="13">
        <v>1</v>
      </c>
      <c r="AA38" s="13" t="s">
        <v>136</v>
      </c>
      <c r="AB38" s="13">
        <v>1</v>
      </c>
      <c r="AC38" s="13" t="s">
        <v>136</v>
      </c>
      <c r="AD38" s="13" t="s">
        <v>136</v>
      </c>
      <c r="AE38" s="13" t="s">
        <v>137</v>
      </c>
      <c r="AF38" s="36" t="s">
        <v>136</v>
      </c>
    </row>
    <row r="39" spans="1:32">
      <c r="A39" s="9" t="s">
        <v>64</v>
      </c>
      <c r="B39" s="9" t="s">
        <v>138</v>
      </c>
      <c r="C39" s="9" t="s">
        <v>59</v>
      </c>
      <c r="D39" s="9" t="s">
        <v>67</v>
      </c>
      <c r="E39" s="9" t="s">
        <v>61</v>
      </c>
      <c r="F39" s="9" t="s">
        <v>62</v>
      </c>
      <c r="G39" s="9" t="s">
        <v>62</v>
      </c>
      <c r="H39" s="9">
        <v>11107</v>
      </c>
      <c r="I39" s="9">
        <v>9000000</v>
      </c>
      <c r="J39" s="9">
        <v>40</v>
      </c>
      <c r="K39" s="9">
        <v>0</v>
      </c>
      <c r="L39" s="9">
        <v>2353</v>
      </c>
      <c r="M39" s="9">
        <v>2353</v>
      </c>
      <c r="N39" s="9" t="b">
        <v>0</v>
      </c>
      <c r="O39" s="9"/>
      <c r="P39" s="9"/>
      <c r="Q39" s="9"/>
      <c r="R39" s="9"/>
      <c r="S39" s="9" t="b">
        <v>0</v>
      </c>
      <c r="T39" s="9"/>
      <c r="U39" s="9"/>
      <c r="V39" s="9" t="b">
        <v>0</v>
      </c>
      <c r="W39" s="9" t="b">
        <v>0</v>
      </c>
      <c r="X39" s="31">
        <v>45838</v>
      </c>
      <c r="Y39" s="31">
        <f t="shared" si="1"/>
        <v>48191</v>
      </c>
      <c r="Z39" s="13">
        <v>1</v>
      </c>
      <c r="AA39" s="13" t="s">
        <v>136</v>
      </c>
      <c r="AB39" s="13">
        <v>1</v>
      </c>
      <c r="AC39" s="13" t="s">
        <v>136</v>
      </c>
      <c r="AD39" s="13" t="s">
        <v>136</v>
      </c>
      <c r="AE39" s="13" t="s">
        <v>137</v>
      </c>
      <c r="AF39" s="36" t="s">
        <v>136</v>
      </c>
    </row>
    <row r="40" spans="1:32">
      <c r="A40" s="9" t="s">
        <v>65</v>
      </c>
      <c r="B40" s="9" t="s">
        <v>138</v>
      </c>
      <c r="C40" s="9" t="s">
        <v>59</v>
      </c>
      <c r="D40" s="9" t="s">
        <v>67</v>
      </c>
      <c r="E40" s="9" t="s">
        <v>61</v>
      </c>
      <c r="F40" s="9" t="s">
        <v>62</v>
      </c>
      <c r="G40" s="9" t="s">
        <v>62</v>
      </c>
      <c r="H40" s="9">
        <v>16660</v>
      </c>
      <c r="I40" s="9">
        <v>36000000</v>
      </c>
      <c r="J40" s="9">
        <v>40</v>
      </c>
      <c r="K40" s="9">
        <v>0</v>
      </c>
      <c r="L40" s="9">
        <v>961</v>
      </c>
      <c r="M40" s="9">
        <v>961</v>
      </c>
      <c r="N40" s="9" t="b">
        <v>0</v>
      </c>
      <c r="O40" s="9"/>
      <c r="P40" s="9"/>
      <c r="Q40" s="9"/>
      <c r="R40" s="9"/>
      <c r="S40" s="9" t="b">
        <v>0</v>
      </c>
      <c r="T40" s="9"/>
      <c r="U40" s="9"/>
      <c r="V40" s="9" t="b">
        <v>0</v>
      </c>
      <c r="W40" s="9" t="b">
        <v>0</v>
      </c>
      <c r="X40" s="31">
        <v>45838</v>
      </c>
      <c r="Y40" s="31">
        <f t="shared" si="1"/>
        <v>46799</v>
      </c>
      <c r="Z40" s="13">
        <v>1</v>
      </c>
      <c r="AA40" s="13" t="s">
        <v>136</v>
      </c>
      <c r="AB40" s="13">
        <v>1</v>
      </c>
      <c r="AC40" s="13" t="s">
        <v>136</v>
      </c>
      <c r="AD40" s="13" t="s">
        <v>136</v>
      </c>
      <c r="AE40" s="13" t="s">
        <v>137</v>
      </c>
      <c r="AF40" s="36" t="s">
        <v>136</v>
      </c>
    </row>
    <row r="41" spans="1:32">
      <c r="A41" s="9" t="s">
        <v>70</v>
      </c>
      <c r="B41" s="9" t="s">
        <v>138</v>
      </c>
      <c r="C41" s="9" t="s">
        <v>59</v>
      </c>
      <c r="D41" s="9" t="s">
        <v>67</v>
      </c>
      <c r="E41" s="9" t="s">
        <v>61</v>
      </c>
      <c r="F41" s="9" t="s">
        <v>62</v>
      </c>
      <c r="G41" s="9" t="s">
        <v>62</v>
      </c>
      <c r="H41" s="9">
        <v>5553</v>
      </c>
      <c r="I41" s="9">
        <v>4000000</v>
      </c>
      <c r="J41" s="9">
        <v>40</v>
      </c>
      <c r="K41" s="9">
        <v>0</v>
      </c>
      <c r="L41" s="9">
        <v>199</v>
      </c>
      <c r="M41" s="9">
        <v>199</v>
      </c>
      <c r="N41" s="9" t="b">
        <v>0</v>
      </c>
      <c r="O41" s="9"/>
      <c r="P41" s="9"/>
      <c r="Q41" s="9"/>
      <c r="R41" s="9"/>
      <c r="S41" s="9" t="b">
        <v>0</v>
      </c>
      <c r="T41" s="9"/>
      <c r="U41" s="9"/>
      <c r="V41" s="9" t="b">
        <v>0</v>
      </c>
      <c r="W41" s="9" t="b">
        <v>0</v>
      </c>
      <c r="X41" s="31">
        <v>45838</v>
      </c>
      <c r="Y41" s="31">
        <f t="shared" si="1"/>
        <v>46037</v>
      </c>
      <c r="Z41" s="13">
        <v>1</v>
      </c>
      <c r="AA41" s="13" t="s">
        <v>136</v>
      </c>
      <c r="AB41" s="13">
        <v>1</v>
      </c>
      <c r="AC41" s="13" t="s">
        <v>136</v>
      </c>
      <c r="AD41" s="13" t="s">
        <v>136</v>
      </c>
      <c r="AE41" s="13" t="s">
        <v>137</v>
      </c>
      <c r="AF41" s="36" t="s">
        <v>136</v>
      </c>
    </row>
    <row r="42" spans="1:32">
      <c r="A42" s="9" t="s">
        <v>75</v>
      </c>
      <c r="B42" s="9" t="s">
        <v>138</v>
      </c>
      <c r="C42" s="9" t="s">
        <v>101</v>
      </c>
      <c r="D42" s="9" t="s">
        <v>60</v>
      </c>
      <c r="E42" s="9" t="s">
        <v>68</v>
      </c>
      <c r="F42" s="9" t="s">
        <v>73</v>
      </c>
      <c r="G42" s="9" t="s">
        <v>62</v>
      </c>
      <c r="H42" s="9">
        <v>-25040</v>
      </c>
      <c r="I42" s="9">
        <v>5506800</v>
      </c>
      <c r="J42" s="9">
        <v>40</v>
      </c>
      <c r="K42" s="9">
        <v>0</v>
      </c>
      <c r="L42" s="9">
        <v>250</v>
      </c>
      <c r="M42" s="9">
        <v>250</v>
      </c>
      <c r="N42" s="9" t="b">
        <v>0</v>
      </c>
      <c r="O42" s="9"/>
      <c r="P42" s="9"/>
      <c r="Q42" s="9"/>
      <c r="R42" s="9"/>
      <c r="S42" s="9" t="b">
        <v>1</v>
      </c>
      <c r="T42" s="9">
        <v>0</v>
      </c>
      <c r="U42" s="9">
        <v>0.04</v>
      </c>
      <c r="V42" s="9" t="b">
        <v>0</v>
      </c>
      <c r="W42" s="9" t="b">
        <v>0</v>
      </c>
      <c r="X42" s="31">
        <v>45838</v>
      </c>
      <c r="Y42" s="31">
        <f t="shared" si="1"/>
        <v>46088</v>
      </c>
      <c r="Z42" s="13">
        <v>-9.6153846153846096</v>
      </c>
      <c r="AA42" s="13" t="s">
        <v>136</v>
      </c>
      <c r="AB42" s="13">
        <v>1</v>
      </c>
      <c r="AC42" s="13" t="s">
        <v>136</v>
      </c>
      <c r="AD42" s="13" t="s">
        <v>136</v>
      </c>
      <c r="AE42" s="13" t="s">
        <v>137</v>
      </c>
      <c r="AF42" s="36" t="s">
        <v>136</v>
      </c>
    </row>
  </sheetData>
  <phoneticPr fontId="2" type="noConversion"/>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32F19-148F-2C4D-8812-7ED6C579EC69}">
  <dimension ref="A1:H7"/>
  <sheetViews>
    <sheetView zoomScale="130" zoomScaleNormal="130" workbookViewId="0">
      <selection activeCell="L9" sqref="L9"/>
    </sheetView>
  </sheetViews>
  <sheetFormatPr defaultColWidth="11" defaultRowHeight="15.5"/>
  <cols>
    <col min="1" max="2" width="11" style="13"/>
    <col min="3" max="3" width="26.5" style="13" customWidth="1"/>
    <col min="4" max="16384" width="11" style="13"/>
  </cols>
  <sheetData>
    <row r="1" spans="1:8">
      <c r="A1" s="8" t="s">
        <v>5</v>
      </c>
      <c r="B1" s="8" t="s">
        <v>7</v>
      </c>
      <c r="C1" s="8" t="s">
        <v>10</v>
      </c>
      <c r="D1" s="8" t="s">
        <v>13</v>
      </c>
      <c r="E1" s="8" t="s">
        <v>16</v>
      </c>
      <c r="F1" s="8" t="s">
        <v>19</v>
      </c>
      <c r="G1" s="8" t="s">
        <v>23</v>
      </c>
      <c r="H1" s="13" t="s">
        <v>129</v>
      </c>
    </row>
    <row r="2" spans="1:8">
      <c r="A2" s="9" t="s">
        <v>58</v>
      </c>
      <c r="B2" s="9" t="s">
        <v>104</v>
      </c>
      <c r="C2" s="9" t="s">
        <v>105</v>
      </c>
      <c r="D2" s="9">
        <v>853000</v>
      </c>
      <c r="E2" s="9">
        <v>1300000</v>
      </c>
      <c r="F2" s="9">
        <v>0</v>
      </c>
      <c r="G2" s="9">
        <v>0</v>
      </c>
      <c r="H2" s="30">
        <v>621365.004274445</v>
      </c>
    </row>
    <row r="3" spans="1:8">
      <c r="A3" s="26" t="s">
        <v>100</v>
      </c>
      <c r="B3" s="26" t="s">
        <v>106</v>
      </c>
      <c r="C3" s="26" t="s">
        <v>105</v>
      </c>
      <c r="D3" s="26">
        <v>11000</v>
      </c>
      <c r="E3" s="26">
        <v>10000</v>
      </c>
      <c r="F3" s="26">
        <v>0</v>
      </c>
      <c r="G3" s="26">
        <v>0</v>
      </c>
      <c r="H3" s="30">
        <v>2901185.2370846602</v>
      </c>
    </row>
    <row r="4" spans="1:8">
      <c r="A4" s="9" t="s">
        <v>102</v>
      </c>
      <c r="B4" s="9" t="s">
        <v>107</v>
      </c>
      <c r="C4" s="9" t="s">
        <v>108</v>
      </c>
      <c r="D4" s="9">
        <v>110000</v>
      </c>
      <c r="E4" s="9"/>
      <c r="F4" s="9"/>
      <c r="G4" s="9"/>
      <c r="H4" s="30">
        <v>2304025.6823970298</v>
      </c>
    </row>
    <row r="5" spans="1:8">
      <c r="A5" s="20" t="s">
        <v>103</v>
      </c>
      <c r="B5" s="20" t="s">
        <v>121</v>
      </c>
      <c r="C5" s="20" t="s">
        <v>105</v>
      </c>
      <c r="D5" s="20">
        <v>110000</v>
      </c>
      <c r="E5" s="20">
        <v>200000</v>
      </c>
      <c r="F5" s="20">
        <v>0</v>
      </c>
      <c r="G5" s="20">
        <v>0</v>
      </c>
      <c r="H5" s="13">
        <v>637373.53990790097</v>
      </c>
    </row>
    <row r="6" spans="1:8">
      <c r="A6" s="9" t="s">
        <v>124</v>
      </c>
      <c r="B6" s="9" t="s">
        <v>128</v>
      </c>
      <c r="C6" s="9" t="s">
        <v>105</v>
      </c>
      <c r="D6" s="9">
        <v>11000</v>
      </c>
      <c r="E6" s="9">
        <v>10000</v>
      </c>
      <c r="F6" s="9">
        <v>0</v>
      </c>
      <c r="G6" s="9">
        <v>0</v>
      </c>
      <c r="H6" s="13">
        <v>2901185.2370846602</v>
      </c>
    </row>
    <row r="7" spans="1:8">
      <c r="A7" s="20" t="s">
        <v>126</v>
      </c>
      <c r="B7" s="20" t="s">
        <v>127</v>
      </c>
      <c r="C7" s="20" t="s">
        <v>105</v>
      </c>
      <c r="D7" s="20">
        <v>426500</v>
      </c>
      <c r="E7" s="20">
        <v>650000</v>
      </c>
      <c r="F7" s="20">
        <v>0</v>
      </c>
      <c r="G7" s="20">
        <v>0</v>
      </c>
      <c r="H7" s="13">
        <v>18534.7492476015</v>
      </c>
    </row>
  </sheetData>
  <phoneticPr fontId="2" type="noConversion"/>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2BC71-BDF1-4B40-863E-E7C3D9FD359A}">
  <dimension ref="A1:F15"/>
  <sheetViews>
    <sheetView workbookViewId="0">
      <selection activeCell="D10" sqref="D10"/>
    </sheetView>
  </sheetViews>
  <sheetFormatPr defaultColWidth="11" defaultRowHeight="15.5"/>
  <cols>
    <col min="1" max="1" width="22.1640625" style="13" bestFit="1" customWidth="1"/>
    <col min="2" max="2" width="25.33203125" style="13" bestFit="1" customWidth="1"/>
    <col min="3" max="3" width="19.5" style="13" customWidth="1"/>
    <col min="4" max="4" width="23.33203125" style="13" customWidth="1"/>
    <col min="5" max="5" width="24.6640625" style="13" customWidth="1"/>
    <col min="6" max="6" width="23" style="13" customWidth="1"/>
    <col min="7" max="16384" width="11" style="13"/>
  </cols>
  <sheetData>
    <row r="1" spans="1:6" ht="18.5">
      <c r="A1" s="27" t="s">
        <v>14</v>
      </c>
      <c r="B1" s="27" t="s">
        <v>17</v>
      </c>
      <c r="C1" s="27" t="s">
        <v>21</v>
      </c>
      <c r="D1" s="27" t="s">
        <v>109</v>
      </c>
      <c r="E1" s="27" t="s">
        <v>110</v>
      </c>
      <c r="F1" s="27" t="s">
        <v>111</v>
      </c>
    </row>
    <row r="2" spans="1:6" ht="18.5">
      <c r="A2" s="29" t="s">
        <v>61</v>
      </c>
      <c r="B2" s="29" t="s">
        <v>62</v>
      </c>
      <c r="C2" s="29" t="s">
        <v>62</v>
      </c>
      <c r="D2" s="28">
        <v>0.5</v>
      </c>
      <c r="E2" s="28"/>
      <c r="F2" s="28">
        <v>5.0000000000000001E-3</v>
      </c>
    </row>
    <row r="3" spans="1:6" ht="18.5">
      <c r="A3" s="29" t="s">
        <v>77</v>
      </c>
      <c r="B3" s="29" t="s">
        <v>62</v>
      </c>
      <c r="C3" s="29" t="s">
        <v>62</v>
      </c>
      <c r="D3" s="28">
        <v>0.15</v>
      </c>
      <c r="E3" s="28"/>
      <c r="F3" s="28">
        <v>0.04</v>
      </c>
    </row>
    <row r="4" spans="1:6" ht="18.5">
      <c r="A4" s="29" t="s">
        <v>68</v>
      </c>
      <c r="B4" s="29" t="s">
        <v>69</v>
      </c>
      <c r="C4" s="29" t="s">
        <v>62</v>
      </c>
      <c r="D4" s="28">
        <v>1</v>
      </c>
      <c r="E4" s="28">
        <v>0.5</v>
      </c>
      <c r="F4" s="28">
        <v>4.5999999999999999E-3</v>
      </c>
    </row>
    <row r="5" spans="1:6" ht="18.5">
      <c r="A5" s="29" t="s">
        <v>68</v>
      </c>
      <c r="B5" s="29" t="s">
        <v>73</v>
      </c>
      <c r="C5" s="29" t="s">
        <v>62</v>
      </c>
      <c r="D5" s="28">
        <v>1</v>
      </c>
      <c r="E5" s="28">
        <v>0.5</v>
      </c>
      <c r="F5" s="28">
        <v>1.3000000000000001E-2</v>
      </c>
    </row>
    <row r="6" spans="1:6" ht="18.5">
      <c r="A6" s="29" t="s">
        <v>68</v>
      </c>
      <c r="B6" s="29" t="s">
        <v>112</v>
      </c>
      <c r="C6" s="29" t="s">
        <v>62</v>
      </c>
      <c r="D6" s="28">
        <v>1</v>
      </c>
      <c r="E6" s="28">
        <v>0.5</v>
      </c>
      <c r="F6" s="28">
        <v>0.06</v>
      </c>
    </row>
    <row r="7" spans="1:6" ht="18.5">
      <c r="A7" s="29" t="s">
        <v>72</v>
      </c>
      <c r="B7" s="29" t="s">
        <v>69</v>
      </c>
      <c r="C7" s="29" t="s">
        <v>62</v>
      </c>
      <c r="D7" s="28">
        <v>0.8</v>
      </c>
      <c r="E7" s="28">
        <v>0.8</v>
      </c>
      <c r="F7" s="28">
        <v>3.8E-3</v>
      </c>
    </row>
    <row r="8" spans="1:6" ht="18.5">
      <c r="A8" s="29" t="s">
        <v>72</v>
      </c>
      <c r="B8" s="29" t="s">
        <v>73</v>
      </c>
      <c r="C8" s="29" t="s">
        <v>62</v>
      </c>
      <c r="D8" s="28">
        <v>0.8</v>
      </c>
      <c r="E8" s="28">
        <v>0.8</v>
      </c>
      <c r="F8" s="28">
        <v>1.06E-2</v>
      </c>
    </row>
    <row r="9" spans="1:6" ht="18.5">
      <c r="A9" s="29" t="s">
        <v>113</v>
      </c>
      <c r="B9" s="29" t="s">
        <v>62</v>
      </c>
      <c r="C9" s="29" t="s">
        <v>62</v>
      </c>
      <c r="D9" s="28">
        <v>1.2</v>
      </c>
      <c r="E9" s="28">
        <v>0.5</v>
      </c>
      <c r="F9" s="28">
        <v>0.32</v>
      </c>
    </row>
    <row r="10" spans="1:6" ht="18.5">
      <c r="A10" s="29" t="s">
        <v>82</v>
      </c>
      <c r="B10" s="29" t="s">
        <v>62</v>
      </c>
      <c r="C10" s="29" t="s">
        <v>62</v>
      </c>
      <c r="D10" s="28">
        <v>0.75</v>
      </c>
      <c r="E10" s="28">
        <v>0.8</v>
      </c>
      <c r="F10" s="28">
        <v>0.2</v>
      </c>
    </row>
    <row r="11" spans="1:6" ht="18.5">
      <c r="A11" s="29" t="s">
        <v>87</v>
      </c>
      <c r="B11" s="29" t="s">
        <v>88</v>
      </c>
      <c r="C11" s="29" t="s">
        <v>91</v>
      </c>
      <c r="D11" s="28">
        <v>1.5</v>
      </c>
      <c r="E11" s="28">
        <v>0.4</v>
      </c>
      <c r="F11" s="28">
        <v>0.4</v>
      </c>
    </row>
    <row r="12" spans="1:6" ht="18.5">
      <c r="A12" s="29" t="s">
        <v>87</v>
      </c>
      <c r="B12" s="29" t="s">
        <v>88</v>
      </c>
      <c r="C12" s="29" t="s">
        <v>89</v>
      </c>
      <c r="D12" s="28">
        <v>0.7</v>
      </c>
      <c r="E12" s="28">
        <v>0.4</v>
      </c>
      <c r="F12" s="28">
        <v>0.18</v>
      </c>
    </row>
    <row r="13" spans="1:6" ht="18.5">
      <c r="A13" s="29" t="s">
        <v>87</v>
      </c>
      <c r="B13" s="29" t="s">
        <v>99</v>
      </c>
      <c r="C13" s="29" t="s">
        <v>62</v>
      </c>
      <c r="D13" s="28">
        <v>0.7</v>
      </c>
      <c r="E13" s="28">
        <v>0.4</v>
      </c>
      <c r="F13" s="28">
        <v>0.18</v>
      </c>
    </row>
    <row r="14" spans="1:6" ht="18.5">
      <c r="A14" s="29" t="s">
        <v>87</v>
      </c>
      <c r="B14" s="29" t="s">
        <v>96</v>
      </c>
      <c r="C14" s="29" t="s">
        <v>62</v>
      </c>
      <c r="D14" s="28">
        <v>0.7</v>
      </c>
      <c r="E14" s="28">
        <v>0.4</v>
      </c>
      <c r="F14" s="28">
        <v>0.18</v>
      </c>
    </row>
    <row r="15" spans="1:6" ht="18.5">
      <c r="A15" s="29" t="s">
        <v>87</v>
      </c>
      <c r="B15" s="29" t="s">
        <v>89</v>
      </c>
      <c r="C15" s="29" t="s">
        <v>62</v>
      </c>
      <c r="D15" s="28">
        <v>0.7</v>
      </c>
      <c r="E15" s="28">
        <v>0.4</v>
      </c>
      <c r="F15" s="28">
        <v>0.18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E77D5-047B-4389-8D92-8A8D402D7EDF}">
  <dimension ref="A1:G225"/>
  <sheetViews>
    <sheetView workbookViewId="0">
      <selection activeCell="J8" sqref="J8"/>
    </sheetView>
  </sheetViews>
  <sheetFormatPr defaultRowHeight="15.5"/>
  <cols>
    <col min="1" max="1" width="5.75" bestFit="1" customWidth="1"/>
    <col min="2" max="2" width="13" bestFit="1" customWidth="1"/>
    <col min="3" max="3" width="18.5" bestFit="1" customWidth="1"/>
    <col min="4" max="4" width="16.75" bestFit="1" customWidth="1"/>
    <col min="5" max="5" width="27.75" bestFit="1" customWidth="1"/>
    <col min="6" max="6" width="20.83203125" bestFit="1" customWidth="1"/>
    <col min="7" max="7" width="13.08203125" bestFit="1" customWidth="1"/>
  </cols>
  <sheetData>
    <row r="1" spans="1:7">
      <c r="A1" s="38" t="s">
        <v>29</v>
      </c>
      <c r="B1" s="39" t="s">
        <v>130</v>
      </c>
      <c r="C1" s="39" t="s">
        <v>131</v>
      </c>
      <c r="D1" s="39" t="s">
        <v>132</v>
      </c>
      <c r="E1" s="39" t="s">
        <v>133</v>
      </c>
      <c r="F1" s="39" t="s">
        <v>134</v>
      </c>
      <c r="G1" s="39" t="s">
        <v>135</v>
      </c>
    </row>
    <row r="2" spans="1:7">
      <c r="A2" s="40">
        <f>IF(G2="Y",2,1)*IF(OR(D2="Y",E2="Y",F2="Y"),20,IF(B2="Y",5,10))+C2-1</f>
        <v>10</v>
      </c>
      <c r="B2" s="40" t="s">
        <v>136</v>
      </c>
      <c r="C2" s="40">
        <v>1</v>
      </c>
      <c r="D2" s="40" t="s">
        <v>136</v>
      </c>
      <c r="E2" s="40" t="s">
        <v>136</v>
      </c>
      <c r="F2" s="40" t="s">
        <v>136</v>
      </c>
      <c r="G2" s="40" t="s">
        <v>136</v>
      </c>
    </row>
    <row r="3" spans="1:7">
      <c r="A3" s="40">
        <f t="shared" ref="A3:A66" si="0">IF(G3="Y",2,1)*IF(OR(D3="Y",E3="Y",F3="Y"),20,IF(B3="Y",5,10))+C3-1</f>
        <v>20</v>
      </c>
      <c r="B3" s="40" t="s">
        <v>136</v>
      </c>
      <c r="C3" s="40">
        <v>1</v>
      </c>
      <c r="D3" s="40" t="s">
        <v>136</v>
      </c>
      <c r="E3" s="40" t="s">
        <v>136</v>
      </c>
      <c r="F3" s="40" t="s">
        <v>136</v>
      </c>
      <c r="G3" s="40" t="s">
        <v>137</v>
      </c>
    </row>
    <row r="4" spans="1:7">
      <c r="A4" s="40">
        <f t="shared" si="0"/>
        <v>20</v>
      </c>
      <c r="B4" s="40" t="s">
        <v>136</v>
      </c>
      <c r="C4" s="40">
        <v>1</v>
      </c>
      <c r="D4" s="40" t="s">
        <v>136</v>
      </c>
      <c r="E4" s="40" t="s">
        <v>136</v>
      </c>
      <c r="F4" s="40" t="s">
        <v>137</v>
      </c>
      <c r="G4" s="40" t="s">
        <v>136</v>
      </c>
    </row>
    <row r="5" spans="1:7">
      <c r="A5" s="40">
        <f t="shared" si="0"/>
        <v>40</v>
      </c>
      <c r="B5" s="40" t="s">
        <v>136</v>
      </c>
      <c r="C5" s="40">
        <v>1</v>
      </c>
      <c r="D5" s="40" t="s">
        <v>136</v>
      </c>
      <c r="E5" s="40" t="s">
        <v>136</v>
      </c>
      <c r="F5" s="40" t="s">
        <v>137</v>
      </c>
      <c r="G5" s="40" t="s">
        <v>137</v>
      </c>
    </row>
    <row r="6" spans="1:7">
      <c r="A6" s="40">
        <f t="shared" si="0"/>
        <v>20</v>
      </c>
      <c r="B6" s="40" t="s">
        <v>136</v>
      </c>
      <c r="C6" s="40">
        <v>1</v>
      </c>
      <c r="D6" s="40" t="s">
        <v>136</v>
      </c>
      <c r="E6" s="40" t="s">
        <v>137</v>
      </c>
      <c r="F6" s="40" t="s">
        <v>136</v>
      </c>
      <c r="G6" s="40" t="s">
        <v>136</v>
      </c>
    </row>
    <row r="7" spans="1:7">
      <c r="A7" s="40">
        <f t="shared" si="0"/>
        <v>40</v>
      </c>
      <c r="B7" s="40" t="s">
        <v>136</v>
      </c>
      <c r="C7" s="40">
        <v>1</v>
      </c>
      <c r="D7" s="40" t="s">
        <v>136</v>
      </c>
      <c r="E7" s="40" t="s">
        <v>137</v>
      </c>
      <c r="F7" s="40" t="s">
        <v>136</v>
      </c>
      <c r="G7" s="40" t="s">
        <v>137</v>
      </c>
    </row>
    <row r="8" spans="1:7">
      <c r="A8" s="40">
        <f t="shared" si="0"/>
        <v>20</v>
      </c>
      <c r="B8" s="40" t="s">
        <v>136</v>
      </c>
      <c r="C8" s="40">
        <v>1</v>
      </c>
      <c r="D8" s="40" t="s">
        <v>136</v>
      </c>
      <c r="E8" s="40" t="s">
        <v>137</v>
      </c>
      <c r="F8" s="40" t="s">
        <v>137</v>
      </c>
      <c r="G8" s="40" t="s">
        <v>136</v>
      </c>
    </row>
    <row r="9" spans="1:7">
      <c r="A9" s="40">
        <f t="shared" si="0"/>
        <v>40</v>
      </c>
      <c r="B9" s="40" t="s">
        <v>136</v>
      </c>
      <c r="C9" s="40">
        <v>1</v>
      </c>
      <c r="D9" s="40" t="s">
        <v>136</v>
      </c>
      <c r="E9" s="40" t="s">
        <v>137</v>
      </c>
      <c r="F9" s="40" t="s">
        <v>137</v>
      </c>
      <c r="G9" s="40" t="s">
        <v>137</v>
      </c>
    </row>
    <row r="10" spans="1:7">
      <c r="A10" s="40">
        <f t="shared" si="0"/>
        <v>20</v>
      </c>
      <c r="B10" s="40" t="s">
        <v>136</v>
      </c>
      <c r="C10" s="40">
        <v>1</v>
      </c>
      <c r="D10" s="40" t="s">
        <v>137</v>
      </c>
      <c r="E10" s="40" t="s">
        <v>136</v>
      </c>
      <c r="F10" s="40" t="s">
        <v>136</v>
      </c>
      <c r="G10" s="40" t="s">
        <v>136</v>
      </c>
    </row>
    <row r="11" spans="1:7">
      <c r="A11" s="40">
        <f t="shared" si="0"/>
        <v>40</v>
      </c>
      <c r="B11" s="40" t="s">
        <v>136</v>
      </c>
      <c r="C11" s="40">
        <v>1</v>
      </c>
      <c r="D11" s="40" t="s">
        <v>137</v>
      </c>
      <c r="E11" s="40" t="s">
        <v>136</v>
      </c>
      <c r="F11" s="40" t="s">
        <v>136</v>
      </c>
      <c r="G11" s="40" t="s">
        <v>137</v>
      </c>
    </row>
    <row r="12" spans="1:7">
      <c r="A12" s="40">
        <f t="shared" si="0"/>
        <v>20</v>
      </c>
      <c r="B12" s="40" t="s">
        <v>136</v>
      </c>
      <c r="C12" s="40">
        <v>1</v>
      </c>
      <c r="D12" s="40" t="s">
        <v>137</v>
      </c>
      <c r="E12" s="40" t="s">
        <v>136</v>
      </c>
      <c r="F12" s="40" t="s">
        <v>137</v>
      </c>
      <c r="G12" s="40" t="s">
        <v>136</v>
      </c>
    </row>
    <row r="13" spans="1:7">
      <c r="A13" s="40">
        <f t="shared" si="0"/>
        <v>40</v>
      </c>
      <c r="B13" s="40" t="s">
        <v>136</v>
      </c>
      <c r="C13" s="40">
        <v>1</v>
      </c>
      <c r="D13" s="40" t="s">
        <v>137</v>
      </c>
      <c r="E13" s="40" t="s">
        <v>136</v>
      </c>
      <c r="F13" s="40" t="s">
        <v>137</v>
      </c>
      <c r="G13" s="40" t="s">
        <v>137</v>
      </c>
    </row>
    <row r="14" spans="1:7">
      <c r="A14" s="40">
        <f t="shared" si="0"/>
        <v>20</v>
      </c>
      <c r="B14" s="40" t="s">
        <v>136</v>
      </c>
      <c r="C14" s="40">
        <v>1</v>
      </c>
      <c r="D14" s="40" t="s">
        <v>137</v>
      </c>
      <c r="E14" s="40" t="s">
        <v>137</v>
      </c>
      <c r="F14" s="40" t="s">
        <v>136</v>
      </c>
      <c r="G14" s="40" t="s">
        <v>136</v>
      </c>
    </row>
    <row r="15" spans="1:7">
      <c r="A15" s="40">
        <f t="shared" si="0"/>
        <v>40</v>
      </c>
      <c r="B15" s="40" t="s">
        <v>136</v>
      </c>
      <c r="C15" s="40">
        <v>1</v>
      </c>
      <c r="D15" s="40" t="s">
        <v>137</v>
      </c>
      <c r="E15" s="40" t="s">
        <v>137</v>
      </c>
      <c r="F15" s="40" t="s">
        <v>136</v>
      </c>
      <c r="G15" s="40" t="s">
        <v>137</v>
      </c>
    </row>
    <row r="16" spans="1:7">
      <c r="A16" s="40">
        <f t="shared" si="0"/>
        <v>20</v>
      </c>
      <c r="B16" s="40" t="s">
        <v>136</v>
      </c>
      <c r="C16" s="40">
        <v>1</v>
      </c>
      <c r="D16" s="40" t="s">
        <v>137</v>
      </c>
      <c r="E16" s="40" t="s">
        <v>137</v>
      </c>
      <c r="F16" s="40" t="s">
        <v>137</v>
      </c>
      <c r="G16" s="40" t="s">
        <v>136</v>
      </c>
    </row>
    <row r="17" spans="1:7">
      <c r="A17" s="40">
        <f t="shared" si="0"/>
        <v>40</v>
      </c>
      <c r="B17" s="40" t="s">
        <v>136</v>
      </c>
      <c r="C17" s="40">
        <v>1</v>
      </c>
      <c r="D17" s="40" t="s">
        <v>137</v>
      </c>
      <c r="E17" s="40" t="s">
        <v>137</v>
      </c>
      <c r="F17" s="40" t="s">
        <v>137</v>
      </c>
      <c r="G17" s="40" t="s">
        <v>137</v>
      </c>
    </row>
    <row r="18" spans="1:7">
      <c r="A18" s="40">
        <f t="shared" si="0"/>
        <v>5</v>
      </c>
      <c r="B18" s="40" t="s">
        <v>137</v>
      </c>
      <c r="C18" s="40">
        <v>1</v>
      </c>
      <c r="D18" s="40" t="s">
        <v>136</v>
      </c>
      <c r="E18" s="40" t="s">
        <v>136</v>
      </c>
      <c r="F18" s="40" t="s">
        <v>136</v>
      </c>
      <c r="G18" s="40" t="s">
        <v>136</v>
      </c>
    </row>
    <row r="19" spans="1:7">
      <c r="A19" s="40">
        <f t="shared" si="0"/>
        <v>10</v>
      </c>
      <c r="B19" s="40" t="s">
        <v>137</v>
      </c>
      <c r="C19" s="40">
        <v>1</v>
      </c>
      <c r="D19" s="40" t="s">
        <v>136</v>
      </c>
      <c r="E19" s="40" t="s">
        <v>136</v>
      </c>
      <c r="F19" s="40" t="s">
        <v>136</v>
      </c>
      <c r="G19" s="40" t="s">
        <v>137</v>
      </c>
    </row>
    <row r="20" spans="1:7">
      <c r="A20" s="40">
        <f t="shared" si="0"/>
        <v>20</v>
      </c>
      <c r="B20" s="40" t="s">
        <v>137</v>
      </c>
      <c r="C20" s="40">
        <v>1</v>
      </c>
      <c r="D20" s="40" t="s">
        <v>136</v>
      </c>
      <c r="E20" s="40" t="s">
        <v>136</v>
      </c>
      <c r="F20" s="40" t="s">
        <v>137</v>
      </c>
      <c r="G20" s="40" t="s">
        <v>136</v>
      </c>
    </row>
    <row r="21" spans="1:7">
      <c r="A21" s="40">
        <f t="shared" si="0"/>
        <v>40</v>
      </c>
      <c r="B21" s="40" t="s">
        <v>137</v>
      </c>
      <c r="C21" s="40">
        <v>1</v>
      </c>
      <c r="D21" s="40" t="s">
        <v>136</v>
      </c>
      <c r="E21" s="40" t="s">
        <v>136</v>
      </c>
      <c r="F21" s="40" t="s">
        <v>137</v>
      </c>
      <c r="G21" s="40" t="s">
        <v>137</v>
      </c>
    </row>
    <row r="22" spans="1:7">
      <c r="A22" s="40">
        <f t="shared" si="0"/>
        <v>20</v>
      </c>
      <c r="B22" s="40" t="s">
        <v>137</v>
      </c>
      <c r="C22" s="40">
        <v>1</v>
      </c>
      <c r="D22" s="40" t="s">
        <v>136</v>
      </c>
      <c r="E22" s="40" t="s">
        <v>137</v>
      </c>
      <c r="F22" s="40" t="s">
        <v>136</v>
      </c>
      <c r="G22" s="40" t="s">
        <v>136</v>
      </c>
    </row>
    <row r="23" spans="1:7">
      <c r="A23" s="40">
        <f t="shared" si="0"/>
        <v>40</v>
      </c>
      <c r="B23" s="40" t="s">
        <v>137</v>
      </c>
      <c r="C23" s="40">
        <v>1</v>
      </c>
      <c r="D23" s="40" t="s">
        <v>136</v>
      </c>
      <c r="E23" s="40" t="s">
        <v>137</v>
      </c>
      <c r="F23" s="40" t="s">
        <v>136</v>
      </c>
      <c r="G23" s="40" t="s">
        <v>137</v>
      </c>
    </row>
    <row r="24" spans="1:7">
      <c r="A24" s="40">
        <f t="shared" si="0"/>
        <v>20</v>
      </c>
      <c r="B24" s="40" t="s">
        <v>137</v>
      </c>
      <c r="C24" s="40">
        <v>1</v>
      </c>
      <c r="D24" s="40" t="s">
        <v>136</v>
      </c>
      <c r="E24" s="40" t="s">
        <v>137</v>
      </c>
      <c r="F24" s="40" t="s">
        <v>137</v>
      </c>
      <c r="G24" s="40" t="s">
        <v>136</v>
      </c>
    </row>
    <row r="25" spans="1:7">
      <c r="A25" s="40">
        <f t="shared" si="0"/>
        <v>40</v>
      </c>
      <c r="B25" s="40" t="s">
        <v>137</v>
      </c>
      <c r="C25" s="40">
        <v>1</v>
      </c>
      <c r="D25" s="40" t="s">
        <v>136</v>
      </c>
      <c r="E25" s="40" t="s">
        <v>137</v>
      </c>
      <c r="F25" s="40" t="s">
        <v>137</v>
      </c>
      <c r="G25" s="40" t="s">
        <v>137</v>
      </c>
    </row>
    <row r="26" spans="1:7">
      <c r="A26" s="40">
        <f t="shared" si="0"/>
        <v>20</v>
      </c>
      <c r="B26" s="40" t="s">
        <v>137</v>
      </c>
      <c r="C26" s="40">
        <v>1</v>
      </c>
      <c r="D26" s="40" t="s">
        <v>137</v>
      </c>
      <c r="E26" s="40" t="s">
        <v>136</v>
      </c>
      <c r="F26" s="40" t="s">
        <v>136</v>
      </c>
      <c r="G26" s="40" t="s">
        <v>136</v>
      </c>
    </row>
    <row r="27" spans="1:7">
      <c r="A27" s="40">
        <f t="shared" si="0"/>
        <v>40</v>
      </c>
      <c r="B27" s="40" t="s">
        <v>137</v>
      </c>
      <c r="C27" s="40">
        <v>1</v>
      </c>
      <c r="D27" s="40" t="s">
        <v>137</v>
      </c>
      <c r="E27" s="40" t="s">
        <v>136</v>
      </c>
      <c r="F27" s="40" t="s">
        <v>136</v>
      </c>
      <c r="G27" s="40" t="s">
        <v>137</v>
      </c>
    </row>
    <row r="28" spans="1:7">
      <c r="A28" s="40">
        <f t="shared" si="0"/>
        <v>20</v>
      </c>
      <c r="B28" s="40" t="s">
        <v>137</v>
      </c>
      <c r="C28" s="40">
        <v>1</v>
      </c>
      <c r="D28" s="40" t="s">
        <v>137</v>
      </c>
      <c r="E28" s="40" t="s">
        <v>136</v>
      </c>
      <c r="F28" s="40" t="s">
        <v>137</v>
      </c>
      <c r="G28" s="40" t="s">
        <v>136</v>
      </c>
    </row>
    <row r="29" spans="1:7">
      <c r="A29" s="40">
        <f t="shared" si="0"/>
        <v>40</v>
      </c>
      <c r="B29" s="40" t="s">
        <v>137</v>
      </c>
      <c r="C29" s="40">
        <v>1</v>
      </c>
      <c r="D29" s="40" t="s">
        <v>137</v>
      </c>
      <c r="E29" s="40" t="s">
        <v>136</v>
      </c>
      <c r="F29" s="40" t="s">
        <v>137</v>
      </c>
      <c r="G29" s="40" t="s">
        <v>137</v>
      </c>
    </row>
    <row r="30" spans="1:7">
      <c r="A30" s="40">
        <f t="shared" si="0"/>
        <v>20</v>
      </c>
      <c r="B30" s="40" t="s">
        <v>137</v>
      </c>
      <c r="C30" s="40">
        <v>1</v>
      </c>
      <c r="D30" s="40" t="s">
        <v>137</v>
      </c>
      <c r="E30" s="40" t="s">
        <v>137</v>
      </c>
      <c r="F30" s="40" t="s">
        <v>136</v>
      </c>
      <c r="G30" s="40" t="s">
        <v>136</v>
      </c>
    </row>
    <row r="31" spans="1:7">
      <c r="A31" s="40">
        <f t="shared" si="0"/>
        <v>40</v>
      </c>
      <c r="B31" s="40" t="s">
        <v>137</v>
      </c>
      <c r="C31" s="40">
        <v>1</v>
      </c>
      <c r="D31" s="40" t="s">
        <v>137</v>
      </c>
      <c r="E31" s="40" t="s">
        <v>137</v>
      </c>
      <c r="F31" s="40" t="s">
        <v>136</v>
      </c>
      <c r="G31" s="40" t="s">
        <v>137</v>
      </c>
    </row>
    <row r="32" spans="1:7">
      <c r="A32" s="40">
        <f t="shared" si="0"/>
        <v>20</v>
      </c>
      <c r="B32" s="40" t="s">
        <v>137</v>
      </c>
      <c r="C32" s="40">
        <v>1</v>
      </c>
      <c r="D32" s="40" t="s">
        <v>137</v>
      </c>
      <c r="E32" s="40" t="s">
        <v>137</v>
      </c>
      <c r="F32" s="40" t="s">
        <v>137</v>
      </c>
      <c r="G32" s="40" t="s">
        <v>136</v>
      </c>
    </row>
    <row r="33" spans="1:7">
      <c r="A33" s="40">
        <f t="shared" si="0"/>
        <v>40</v>
      </c>
      <c r="B33" s="40" t="s">
        <v>137</v>
      </c>
      <c r="C33" s="40">
        <v>1</v>
      </c>
      <c r="D33" s="40" t="s">
        <v>137</v>
      </c>
      <c r="E33" s="40" t="s">
        <v>137</v>
      </c>
      <c r="F33" s="40" t="s">
        <v>137</v>
      </c>
      <c r="G33" s="40" t="s">
        <v>137</v>
      </c>
    </row>
    <row r="34" spans="1:7">
      <c r="A34" s="40">
        <f t="shared" si="0"/>
        <v>14</v>
      </c>
      <c r="B34" s="40" t="s">
        <v>136</v>
      </c>
      <c r="C34" s="40">
        <v>5</v>
      </c>
      <c r="D34" s="40" t="s">
        <v>136</v>
      </c>
      <c r="E34" s="40" t="s">
        <v>136</v>
      </c>
      <c r="F34" s="40" t="s">
        <v>136</v>
      </c>
      <c r="G34" s="40" t="s">
        <v>136</v>
      </c>
    </row>
    <row r="35" spans="1:7">
      <c r="A35" s="40">
        <f t="shared" si="0"/>
        <v>24</v>
      </c>
      <c r="B35" s="40" t="s">
        <v>136</v>
      </c>
      <c r="C35" s="40">
        <v>5</v>
      </c>
      <c r="D35" s="40" t="s">
        <v>136</v>
      </c>
      <c r="E35" s="40" t="s">
        <v>136</v>
      </c>
      <c r="F35" s="40" t="s">
        <v>136</v>
      </c>
      <c r="G35" s="40" t="s">
        <v>137</v>
      </c>
    </row>
    <row r="36" spans="1:7">
      <c r="A36" s="40">
        <f t="shared" si="0"/>
        <v>24</v>
      </c>
      <c r="B36" s="40" t="s">
        <v>136</v>
      </c>
      <c r="C36" s="40">
        <v>5</v>
      </c>
      <c r="D36" s="40" t="s">
        <v>136</v>
      </c>
      <c r="E36" s="40" t="s">
        <v>136</v>
      </c>
      <c r="F36" s="40" t="s">
        <v>137</v>
      </c>
      <c r="G36" s="40" t="s">
        <v>136</v>
      </c>
    </row>
    <row r="37" spans="1:7">
      <c r="A37" s="40">
        <f t="shared" si="0"/>
        <v>44</v>
      </c>
      <c r="B37" s="40" t="s">
        <v>136</v>
      </c>
      <c r="C37" s="40">
        <v>5</v>
      </c>
      <c r="D37" s="40" t="s">
        <v>136</v>
      </c>
      <c r="E37" s="40" t="s">
        <v>136</v>
      </c>
      <c r="F37" s="40" t="s">
        <v>137</v>
      </c>
      <c r="G37" s="40" t="s">
        <v>137</v>
      </c>
    </row>
    <row r="38" spans="1:7">
      <c r="A38" s="40">
        <f t="shared" si="0"/>
        <v>24</v>
      </c>
      <c r="B38" s="40" t="s">
        <v>136</v>
      </c>
      <c r="C38" s="40">
        <v>5</v>
      </c>
      <c r="D38" s="40" t="s">
        <v>136</v>
      </c>
      <c r="E38" s="40" t="s">
        <v>137</v>
      </c>
      <c r="F38" s="40" t="s">
        <v>136</v>
      </c>
      <c r="G38" s="40" t="s">
        <v>136</v>
      </c>
    </row>
    <row r="39" spans="1:7">
      <c r="A39" s="40">
        <f t="shared" si="0"/>
        <v>44</v>
      </c>
      <c r="B39" s="40" t="s">
        <v>136</v>
      </c>
      <c r="C39" s="40">
        <v>5</v>
      </c>
      <c r="D39" s="40" t="s">
        <v>136</v>
      </c>
      <c r="E39" s="40" t="s">
        <v>137</v>
      </c>
      <c r="F39" s="40" t="s">
        <v>136</v>
      </c>
      <c r="G39" s="40" t="s">
        <v>137</v>
      </c>
    </row>
    <row r="40" spans="1:7">
      <c r="A40" s="40">
        <f t="shared" si="0"/>
        <v>24</v>
      </c>
      <c r="B40" s="40" t="s">
        <v>136</v>
      </c>
      <c r="C40" s="40">
        <v>5</v>
      </c>
      <c r="D40" s="40" t="s">
        <v>136</v>
      </c>
      <c r="E40" s="40" t="s">
        <v>137</v>
      </c>
      <c r="F40" s="40" t="s">
        <v>137</v>
      </c>
      <c r="G40" s="40" t="s">
        <v>136</v>
      </c>
    </row>
    <row r="41" spans="1:7">
      <c r="A41" s="40">
        <f t="shared" si="0"/>
        <v>44</v>
      </c>
      <c r="B41" s="40" t="s">
        <v>136</v>
      </c>
      <c r="C41" s="40">
        <v>5</v>
      </c>
      <c r="D41" s="40" t="s">
        <v>136</v>
      </c>
      <c r="E41" s="40" t="s">
        <v>137</v>
      </c>
      <c r="F41" s="40" t="s">
        <v>137</v>
      </c>
      <c r="G41" s="40" t="s">
        <v>137</v>
      </c>
    </row>
    <row r="42" spans="1:7">
      <c r="A42" s="40">
        <f t="shared" si="0"/>
        <v>24</v>
      </c>
      <c r="B42" s="40" t="s">
        <v>136</v>
      </c>
      <c r="C42" s="40">
        <v>5</v>
      </c>
      <c r="D42" s="40" t="s">
        <v>137</v>
      </c>
      <c r="E42" s="40" t="s">
        <v>136</v>
      </c>
      <c r="F42" s="40" t="s">
        <v>136</v>
      </c>
      <c r="G42" s="40" t="s">
        <v>136</v>
      </c>
    </row>
    <row r="43" spans="1:7">
      <c r="A43" s="40">
        <f t="shared" si="0"/>
        <v>44</v>
      </c>
      <c r="B43" s="40" t="s">
        <v>136</v>
      </c>
      <c r="C43" s="40">
        <v>5</v>
      </c>
      <c r="D43" s="40" t="s">
        <v>137</v>
      </c>
      <c r="E43" s="40" t="s">
        <v>136</v>
      </c>
      <c r="F43" s="40" t="s">
        <v>136</v>
      </c>
      <c r="G43" s="40" t="s">
        <v>137</v>
      </c>
    </row>
    <row r="44" spans="1:7">
      <c r="A44" s="40">
        <f t="shared" si="0"/>
        <v>24</v>
      </c>
      <c r="B44" s="40" t="s">
        <v>136</v>
      </c>
      <c r="C44" s="40">
        <v>5</v>
      </c>
      <c r="D44" s="40" t="s">
        <v>137</v>
      </c>
      <c r="E44" s="40" t="s">
        <v>136</v>
      </c>
      <c r="F44" s="40" t="s">
        <v>137</v>
      </c>
      <c r="G44" s="40" t="s">
        <v>136</v>
      </c>
    </row>
    <row r="45" spans="1:7">
      <c r="A45" s="40">
        <f t="shared" si="0"/>
        <v>44</v>
      </c>
      <c r="B45" s="40" t="s">
        <v>136</v>
      </c>
      <c r="C45" s="40">
        <v>5</v>
      </c>
      <c r="D45" s="40" t="s">
        <v>137</v>
      </c>
      <c r="E45" s="40" t="s">
        <v>136</v>
      </c>
      <c r="F45" s="40" t="s">
        <v>137</v>
      </c>
      <c r="G45" s="40" t="s">
        <v>137</v>
      </c>
    </row>
    <row r="46" spans="1:7">
      <c r="A46" s="40">
        <f t="shared" si="0"/>
        <v>24</v>
      </c>
      <c r="B46" s="40" t="s">
        <v>136</v>
      </c>
      <c r="C46" s="40">
        <v>5</v>
      </c>
      <c r="D46" s="40" t="s">
        <v>137</v>
      </c>
      <c r="E46" s="40" t="s">
        <v>137</v>
      </c>
      <c r="F46" s="40" t="s">
        <v>136</v>
      </c>
      <c r="G46" s="40" t="s">
        <v>136</v>
      </c>
    </row>
    <row r="47" spans="1:7">
      <c r="A47" s="40">
        <f t="shared" si="0"/>
        <v>44</v>
      </c>
      <c r="B47" s="40" t="s">
        <v>136</v>
      </c>
      <c r="C47" s="40">
        <v>5</v>
      </c>
      <c r="D47" s="40" t="s">
        <v>137</v>
      </c>
      <c r="E47" s="40" t="s">
        <v>137</v>
      </c>
      <c r="F47" s="40" t="s">
        <v>136</v>
      </c>
      <c r="G47" s="40" t="s">
        <v>137</v>
      </c>
    </row>
    <row r="48" spans="1:7">
      <c r="A48" s="40">
        <f t="shared" si="0"/>
        <v>24</v>
      </c>
      <c r="B48" s="40" t="s">
        <v>136</v>
      </c>
      <c r="C48" s="40">
        <v>5</v>
      </c>
      <c r="D48" s="40" t="s">
        <v>137</v>
      </c>
      <c r="E48" s="40" t="s">
        <v>137</v>
      </c>
      <c r="F48" s="40" t="s">
        <v>137</v>
      </c>
      <c r="G48" s="40" t="s">
        <v>136</v>
      </c>
    </row>
    <row r="49" spans="1:7">
      <c r="A49" s="40">
        <f t="shared" si="0"/>
        <v>44</v>
      </c>
      <c r="B49" s="40" t="s">
        <v>136</v>
      </c>
      <c r="C49" s="40">
        <v>5</v>
      </c>
      <c r="D49" s="40" t="s">
        <v>137</v>
      </c>
      <c r="E49" s="40" t="s">
        <v>137</v>
      </c>
      <c r="F49" s="40" t="s">
        <v>137</v>
      </c>
      <c r="G49" s="40" t="s">
        <v>137</v>
      </c>
    </row>
    <row r="50" spans="1:7">
      <c r="A50" s="40">
        <f t="shared" si="0"/>
        <v>9</v>
      </c>
      <c r="B50" s="40" t="s">
        <v>137</v>
      </c>
      <c r="C50" s="40">
        <v>5</v>
      </c>
      <c r="D50" s="40" t="s">
        <v>136</v>
      </c>
      <c r="E50" s="40" t="s">
        <v>136</v>
      </c>
      <c r="F50" s="40" t="s">
        <v>136</v>
      </c>
      <c r="G50" s="40" t="s">
        <v>136</v>
      </c>
    </row>
    <row r="51" spans="1:7">
      <c r="A51" s="40">
        <f t="shared" si="0"/>
        <v>14</v>
      </c>
      <c r="B51" s="40" t="s">
        <v>137</v>
      </c>
      <c r="C51" s="40">
        <v>5</v>
      </c>
      <c r="D51" s="40" t="s">
        <v>136</v>
      </c>
      <c r="E51" s="40" t="s">
        <v>136</v>
      </c>
      <c r="F51" s="40" t="s">
        <v>136</v>
      </c>
      <c r="G51" s="40" t="s">
        <v>137</v>
      </c>
    </row>
    <row r="52" spans="1:7">
      <c r="A52" s="40">
        <f t="shared" si="0"/>
        <v>24</v>
      </c>
      <c r="B52" s="40" t="s">
        <v>137</v>
      </c>
      <c r="C52" s="40">
        <v>5</v>
      </c>
      <c r="D52" s="40" t="s">
        <v>136</v>
      </c>
      <c r="E52" s="40" t="s">
        <v>136</v>
      </c>
      <c r="F52" s="40" t="s">
        <v>137</v>
      </c>
      <c r="G52" s="40" t="s">
        <v>136</v>
      </c>
    </row>
    <row r="53" spans="1:7">
      <c r="A53" s="40">
        <f t="shared" si="0"/>
        <v>44</v>
      </c>
      <c r="B53" s="40" t="s">
        <v>137</v>
      </c>
      <c r="C53" s="40">
        <v>5</v>
      </c>
      <c r="D53" s="40" t="s">
        <v>136</v>
      </c>
      <c r="E53" s="40" t="s">
        <v>136</v>
      </c>
      <c r="F53" s="40" t="s">
        <v>137</v>
      </c>
      <c r="G53" s="40" t="s">
        <v>137</v>
      </c>
    </row>
    <row r="54" spans="1:7">
      <c r="A54" s="40">
        <f t="shared" si="0"/>
        <v>24</v>
      </c>
      <c r="B54" s="40" t="s">
        <v>137</v>
      </c>
      <c r="C54" s="40">
        <v>5</v>
      </c>
      <c r="D54" s="40" t="s">
        <v>136</v>
      </c>
      <c r="E54" s="40" t="s">
        <v>137</v>
      </c>
      <c r="F54" s="40" t="s">
        <v>136</v>
      </c>
      <c r="G54" s="40" t="s">
        <v>136</v>
      </c>
    </row>
    <row r="55" spans="1:7">
      <c r="A55" s="40">
        <f t="shared" si="0"/>
        <v>44</v>
      </c>
      <c r="B55" s="40" t="s">
        <v>137</v>
      </c>
      <c r="C55" s="40">
        <v>5</v>
      </c>
      <c r="D55" s="40" t="s">
        <v>136</v>
      </c>
      <c r="E55" s="40" t="s">
        <v>137</v>
      </c>
      <c r="F55" s="40" t="s">
        <v>136</v>
      </c>
      <c r="G55" s="40" t="s">
        <v>137</v>
      </c>
    </row>
    <row r="56" spans="1:7">
      <c r="A56" s="40">
        <f t="shared" si="0"/>
        <v>24</v>
      </c>
      <c r="B56" s="40" t="s">
        <v>137</v>
      </c>
      <c r="C56" s="40">
        <v>5</v>
      </c>
      <c r="D56" s="40" t="s">
        <v>136</v>
      </c>
      <c r="E56" s="40" t="s">
        <v>137</v>
      </c>
      <c r="F56" s="40" t="s">
        <v>137</v>
      </c>
      <c r="G56" s="40" t="s">
        <v>136</v>
      </c>
    </row>
    <row r="57" spans="1:7">
      <c r="A57" s="40">
        <f t="shared" si="0"/>
        <v>44</v>
      </c>
      <c r="B57" s="40" t="s">
        <v>137</v>
      </c>
      <c r="C57" s="40">
        <v>5</v>
      </c>
      <c r="D57" s="40" t="s">
        <v>136</v>
      </c>
      <c r="E57" s="40" t="s">
        <v>137</v>
      </c>
      <c r="F57" s="40" t="s">
        <v>137</v>
      </c>
      <c r="G57" s="40" t="s">
        <v>137</v>
      </c>
    </row>
    <row r="58" spans="1:7">
      <c r="A58" s="40">
        <f t="shared" si="0"/>
        <v>24</v>
      </c>
      <c r="B58" s="40" t="s">
        <v>137</v>
      </c>
      <c r="C58" s="40">
        <v>5</v>
      </c>
      <c r="D58" s="40" t="s">
        <v>137</v>
      </c>
      <c r="E58" s="40" t="s">
        <v>136</v>
      </c>
      <c r="F58" s="40" t="s">
        <v>136</v>
      </c>
      <c r="G58" s="40" t="s">
        <v>136</v>
      </c>
    </row>
    <row r="59" spans="1:7">
      <c r="A59" s="40">
        <f t="shared" si="0"/>
        <v>44</v>
      </c>
      <c r="B59" s="40" t="s">
        <v>137</v>
      </c>
      <c r="C59" s="40">
        <v>5</v>
      </c>
      <c r="D59" s="40" t="s">
        <v>137</v>
      </c>
      <c r="E59" s="40" t="s">
        <v>136</v>
      </c>
      <c r="F59" s="40" t="s">
        <v>136</v>
      </c>
      <c r="G59" s="40" t="s">
        <v>137</v>
      </c>
    </row>
    <row r="60" spans="1:7">
      <c r="A60" s="40">
        <f t="shared" si="0"/>
        <v>24</v>
      </c>
      <c r="B60" s="40" t="s">
        <v>137</v>
      </c>
      <c r="C60" s="40">
        <v>5</v>
      </c>
      <c r="D60" s="40" t="s">
        <v>137</v>
      </c>
      <c r="E60" s="40" t="s">
        <v>136</v>
      </c>
      <c r="F60" s="40" t="s">
        <v>137</v>
      </c>
      <c r="G60" s="40" t="s">
        <v>136</v>
      </c>
    </row>
    <row r="61" spans="1:7">
      <c r="A61" s="40">
        <f t="shared" si="0"/>
        <v>44</v>
      </c>
      <c r="B61" s="40" t="s">
        <v>137</v>
      </c>
      <c r="C61" s="40">
        <v>5</v>
      </c>
      <c r="D61" s="40" t="s">
        <v>137</v>
      </c>
      <c r="E61" s="40" t="s">
        <v>136</v>
      </c>
      <c r="F61" s="40" t="s">
        <v>137</v>
      </c>
      <c r="G61" s="40" t="s">
        <v>137</v>
      </c>
    </row>
    <row r="62" spans="1:7">
      <c r="A62" s="40">
        <f t="shared" si="0"/>
        <v>24</v>
      </c>
      <c r="B62" s="40" t="s">
        <v>137</v>
      </c>
      <c r="C62" s="40">
        <v>5</v>
      </c>
      <c r="D62" s="40" t="s">
        <v>137</v>
      </c>
      <c r="E62" s="40" t="s">
        <v>137</v>
      </c>
      <c r="F62" s="40" t="s">
        <v>136</v>
      </c>
      <c r="G62" s="40" t="s">
        <v>136</v>
      </c>
    </row>
    <row r="63" spans="1:7">
      <c r="A63" s="40">
        <f t="shared" si="0"/>
        <v>44</v>
      </c>
      <c r="B63" s="40" t="s">
        <v>137</v>
      </c>
      <c r="C63" s="40">
        <v>5</v>
      </c>
      <c r="D63" s="40" t="s">
        <v>137</v>
      </c>
      <c r="E63" s="40" t="s">
        <v>137</v>
      </c>
      <c r="F63" s="40" t="s">
        <v>136</v>
      </c>
      <c r="G63" s="40" t="s">
        <v>137</v>
      </c>
    </row>
    <row r="64" spans="1:7">
      <c r="A64" s="40">
        <f t="shared" si="0"/>
        <v>24</v>
      </c>
      <c r="B64" s="40" t="s">
        <v>137</v>
      </c>
      <c r="C64" s="40">
        <v>5</v>
      </c>
      <c r="D64" s="40" t="s">
        <v>137</v>
      </c>
      <c r="E64" s="40" t="s">
        <v>137</v>
      </c>
      <c r="F64" s="40" t="s">
        <v>137</v>
      </c>
      <c r="G64" s="40" t="s">
        <v>136</v>
      </c>
    </row>
    <row r="65" spans="1:7">
      <c r="A65" s="40">
        <f t="shared" si="0"/>
        <v>44</v>
      </c>
      <c r="B65" s="40" t="s">
        <v>137</v>
      </c>
      <c r="C65" s="40">
        <v>5</v>
      </c>
      <c r="D65" s="40" t="s">
        <v>137</v>
      </c>
      <c r="E65" s="40" t="s">
        <v>137</v>
      </c>
      <c r="F65" s="40" t="s">
        <v>137</v>
      </c>
      <c r="G65" s="40" t="s">
        <v>137</v>
      </c>
    </row>
    <row r="66" spans="1:7">
      <c r="A66" s="40">
        <f t="shared" si="0"/>
        <v>19</v>
      </c>
      <c r="B66" s="40" t="s">
        <v>136</v>
      </c>
      <c r="C66" s="40">
        <v>10</v>
      </c>
      <c r="D66" s="40" t="s">
        <v>136</v>
      </c>
      <c r="E66" s="40" t="s">
        <v>136</v>
      </c>
      <c r="F66" s="40" t="s">
        <v>136</v>
      </c>
      <c r="G66" s="40" t="s">
        <v>136</v>
      </c>
    </row>
    <row r="67" spans="1:7">
      <c r="A67" s="40">
        <f t="shared" ref="A67:A130" si="1">IF(G67="Y",2,1)*IF(OR(D67="Y",E67="Y",F67="Y"),20,IF(B67="Y",5,10))+C67-1</f>
        <v>29</v>
      </c>
      <c r="B67" s="40" t="s">
        <v>136</v>
      </c>
      <c r="C67" s="40">
        <v>10</v>
      </c>
      <c r="D67" s="40" t="s">
        <v>136</v>
      </c>
      <c r="E67" s="40" t="s">
        <v>136</v>
      </c>
      <c r="F67" s="40" t="s">
        <v>136</v>
      </c>
      <c r="G67" s="40" t="s">
        <v>137</v>
      </c>
    </row>
    <row r="68" spans="1:7">
      <c r="A68" s="40">
        <f t="shared" si="1"/>
        <v>29</v>
      </c>
      <c r="B68" s="40" t="s">
        <v>136</v>
      </c>
      <c r="C68" s="40">
        <v>10</v>
      </c>
      <c r="D68" s="40" t="s">
        <v>136</v>
      </c>
      <c r="E68" s="40" t="s">
        <v>136</v>
      </c>
      <c r="F68" s="40" t="s">
        <v>137</v>
      </c>
      <c r="G68" s="40" t="s">
        <v>136</v>
      </c>
    </row>
    <row r="69" spans="1:7">
      <c r="A69" s="40">
        <f t="shared" si="1"/>
        <v>49</v>
      </c>
      <c r="B69" s="40" t="s">
        <v>136</v>
      </c>
      <c r="C69" s="40">
        <v>10</v>
      </c>
      <c r="D69" s="40" t="s">
        <v>136</v>
      </c>
      <c r="E69" s="40" t="s">
        <v>136</v>
      </c>
      <c r="F69" s="40" t="s">
        <v>137</v>
      </c>
      <c r="G69" s="40" t="s">
        <v>137</v>
      </c>
    </row>
    <row r="70" spans="1:7">
      <c r="A70" s="40">
        <f t="shared" si="1"/>
        <v>29</v>
      </c>
      <c r="B70" s="40" t="s">
        <v>136</v>
      </c>
      <c r="C70" s="40">
        <v>10</v>
      </c>
      <c r="D70" s="40" t="s">
        <v>136</v>
      </c>
      <c r="E70" s="40" t="s">
        <v>137</v>
      </c>
      <c r="F70" s="40" t="s">
        <v>136</v>
      </c>
      <c r="G70" s="40" t="s">
        <v>136</v>
      </c>
    </row>
    <row r="71" spans="1:7">
      <c r="A71" s="40">
        <f t="shared" si="1"/>
        <v>49</v>
      </c>
      <c r="B71" s="40" t="s">
        <v>136</v>
      </c>
      <c r="C71" s="40">
        <v>10</v>
      </c>
      <c r="D71" s="40" t="s">
        <v>136</v>
      </c>
      <c r="E71" s="40" t="s">
        <v>137</v>
      </c>
      <c r="F71" s="40" t="s">
        <v>136</v>
      </c>
      <c r="G71" s="40" t="s">
        <v>137</v>
      </c>
    </row>
    <row r="72" spans="1:7">
      <c r="A72" s="40">
        <f t="shared" si="1"/>
        <v>29</v>
      </c>
      <c r="B72" s="40" t="s">
        <v>136</v>
      </c>
      <c r="C72" s="40">
        <v>10</v>
      </c>
      <c r="D72" s="40" t="s">
        <v>136</v>
      </c>
      <c r="E72" s="40" t="s">
        <v>137</v>
      </c>
      <c r="F72" s="40" t="s">
        <v>137</v>
      </c>
      <c r="G72" s="40" t="s">
        <v>136</v>
      </c>
    </row>
    <row r="73" spans="1:7">
      <c r="A73" s="40">
        <f t="shared" si="1"/>
        <v>49</v>
      </c>
      <c r="B73" s="40" t="s">
        <v>136</v>
      </c>
      <c r="C73" s="40">
        <v>10</v>
      </c>
      <c r="D73" s="40" t="s">
        <v>136</v>
      </c>
      <c r="E73" s="40" t="s">
        <v>137</v>
      </c>
      <c r="F73" s="40" t="s">
        <v>137</v>
      </c>
      <c r="G73" s="40" t="s">
        <v>137</v>
      </c>
    </row>
    <row r="74" spans="1:7">
      <c r="A74" s="40">
        <f t="shared" si="1"/>
        <v>29</v>
      </c>
      <c r="B74" s="40" t="s">
        <v>136</v>
      </c>
      <c r="C74" s="40">
        <v>10</v>
      </c>
      <c r="D74" s="40" t="s">
        <v>137</v>
      </c>
      <c r="E74" s="40" t="s">
        <v>136</v>
      </c>
      <c r="F74" s="40" t="s">
        <v>136</v>
      </c>
      <c r="G74" s="40" t="s">
        <v>136</v>
      </c>
    </row>
    <row r="75" spans="1:7">
      <c r="A75" s="40">
        <f t="shared" si="1"/>
        <v>49</v>
      </c>
      <c r="B75" s="40" t="s">
        <v>136</v>
      </c>
      <c r="C75" s="40">
        <v>10</v>
      </c>
      <c r="D75" s="40" t="s">
        <v>137</v>
      </c>
      <c r="E75" s="40" t="s">
        <v>136</v>
      </c>
      <c r="F75" s="40" t="s">
        <v>136</v>
      </c>
      <c r="G75" s="40" t="s">
        <v>137</v>
      </c>
    </row>
    <row r="76" spans="1:7">
      <c r="A76" s="40">
        <f t="shared" si="1"/>
        <v>29</v>
      </c>
      <c r="B76" s="40" t="s">
        <v>136</v>
      </c>
      <c r="C76" s="40">
        <v>10</v>
      </c>
      <c r="D76" s="40" t="s">
        <v>137</v>
      </c>
      <c r="E76" s="40" t="s">
        <v>136</v>
      </c>
      <c r="F76" s="40" t="s">
        <v>137</v>
      </c>
      <c r="G76" s="40" t="s">
        <v>136</v>
      </c>
    </row>
    <row r="77" spans="1:7">
      <c r="A77" s="40">
        <f t="shared" si="1"/>
        <v>49</v>
      </c>
      <c r="B77" s="40" t="s">
        <v>136</v>
      </c>
      <c r="C77" s="40">
        <v>10</v>
      </c>
      <c r="D77" s="40" t="s">
        <v>137</v>
      </c>
      <c r="E77" s="40" t="s">
        <v>136</v>
      </c>
      <c r="F77" s="40" t="s">
        <v>137</v>
      </c>
      <c r="G77" s="40" t="s">
        <v>137</v>
      </c>
    </row>
    <row r="78" spans="1:7">
      <c r="A78" s="40">
        <f t="shared" si="1"/>
        <v>29</v>
      </c>
      <c r="B78" s="40" t="s">
        <v>136</v>
      </c>
      <c r="C78" s="40">
        <v>10</v>
      </c>
      <c r="D78" s="40" t="s">
        <v>137</v>
      </c>
      <c r="E78" s="40" t="s">
        <v>137</v>
      </c>
      <c r="F78" s="40" t="s">
        <v>136</v>
      </c>
      <c r="G78" s="40" t="s">
        <v>136</v>
      </c>
    </row>
    <row r="79" spans="1:7">
      <c r="A79" s="40">
        <f t="shared" si="1"/>
        <v>49</v>
      </c>
      <c r="B79" s="40" t="s">
        <v>136</v>
      </c>
      <c r="C79" s="40">
        <v>10</v>
      </c>
      <c r="D79" s="40" t="s">
        <v>137</v>
      </c>
      <c r="E79" s="40" t="s">
        <v>137</v>
      </c>
      <c r="F79" s="40" t="s">
        <v>136</v>
      </c>
      <c r="G79" s="40" t="s">
        <v>137</v>
      </c>
    </row>
    <row r="80" spans="1:7">
      <c r="A80" s="40">
        <f t="shared" si="1"/>
        <v>29</v>
      </c>
      <c r="B80" s="40" t="s">
        <v>136</v>
      </c>
      <c r="C80" s="40">
        <v>10</v>
      </c>
      <c r="D80" s="40" t="s">
        <v>137</v>
      </c>
      <c r="E80" s="40" t="s">
        <v>137</v>
      </c>
      <c r="F80" s="40" t="s">
        <v>137</v>
      </c>
      <c r="G80" s="40" t="s">
        <v>136</v>
      </c>
    </row>
    <row r="81" spans="1:7">
      <c r="A81" s="40">
        <f t="shared" si="1"/>
        <v>49</v>
      </c>
      <c r="B81" s="40" t="s">
        <v>136</v>
      </c>
      <c r="C81" s="40">
        <v>10</v>
      </c>
      <c r="D81" s="40" t="s">
        <v>137</v>
      </c>
      <c r="E81" s="40" t="s">
        <v>137</v>
      </c>
      <c r="F81" s="40" t="s">
        <v>137</v>
      </c>
      <c r="G81" s="40" t="s">
        <v>137</v>
      </c>
    </row>
    <row r="82" spans="1:7">
      <c r="A82" s="40">
        <f t="shared" si="1"/>
        <v>14</v>
      </c>
      <c r="B82" s="40" t="s">
        <v>137</v>
      </c>
      <c r="C82" s="40">
        <v>10</v>
      </c>
      <c r="D82" s="40" t="s">
        <v>136</v>
      </c>
      <c r="E82" s="40" t="s">
        <v>136</v>
      </c>
      <c r="F82" s="40" t="s">
        <v>136</v>
      </c>
      <c r="G82" s="40" t="s">
        <v>136</v>
      </c>
    </row>
    <row r="83" spans="1:7">
      <c r="A83" s="40">
        <f t="shared" si="1"/>
        <v>19</v>
      </c>
      <c r="B83" s="40" t="s">
        <v>137</v>
      </c>
      <c r="C83" s="40">
        <v>10</v>
      </c>
      <c r="D83" s="40" t="s">
        <v>136</v>
      </c>
      <c r="E83" s="40" t="s">
        <v>136</v>
      </c>
      <c r="F83" s="40" t="s">
        <v>136</v>
      </c>
      <c r="G83" s="40" t="s">
        <v>137</v>
      </c>
    </row>
    <row r="84" spans="1:7">
      <c r="A84" s="40">
        <f t="shared" si="1"/>
        <v>29</v>
      </c>
      <c r="B84" s="40" t="s">
        <v>137</v>
      </c>
      <c r="C84" s="40">
        <v>10</v>
      </c>
      <c r="D84" s="40" t="s">
        <v>136</v>
      </c>
      <c r="E84" s="40" t="s">
        <v>136</v>
      </c>
      <c r="F84" s="40" t="s">
        <v>137</v>
      </c>
      <c r="G84" s="40" t="s">
        <v>136</v>
      </c>
    </row>
    <row r="85" spans="1:7">
      <c r="A85" s="40">
        <f t="shared" si="1"/>
        <v>49</v>
      </c>
      <c r="B85" s="40" t="s">
        <v>137</v>
      </c>
      <c r="C85" s="40">
        <v>10</v>
      </c>
      <c r="D85" s="40" t="s">
        <v>136</v>
      </c>
      <c r="E85" s="40" t="s">
        <v>136</v>
      </c>
      <c r="F85" s="40" t="s">
        <v>137</v>
      </c>
      <c r="G85" s="40" t="s">
        <v>137</v>
      </c>
    </row>
    <row r="86" spans="1:7">
      <c r="A86" s="40">
        <f t="shared" si="1"/>
        <v>29</v>
      </c>
      <c r="B86" s="40" t="s">
        <v>137</v>
      </c>
      <c r="C86" s="40">
        <v>10</v>
      </c>
      <c r="D86" s="40" t="s">
        <v>136</v>
      </c>
      <c r="E86" s="40" t="s">
        <v>137</v>
      </c>
      <c r="F86" s="40" t="s">
        <v>136</v>
      </c>
      <c r="G86" s="40" t="s">
        <v>136</v>
      </c>
    </row>
    <row r="87" spans="1:7">
      <c r="A87" s="40">
        <f t="shared" si="1"/>
        <v>49</v>
      </c>
      <c r="B87" s="40" t="s">
        <v>137</v>
      </c>
      <c r="C87" s="40">
        <v>10</v>
      </c>
      <c r="D87" s="40" t="s">
        <v>136</v>
      </c>
      <c r="E87" s="40" t="s">
        <v>137</v>
      </c>
      <c r="F87" s="40" t="s">
        <v>136</v>
      </c>
      <c r="G87" s="40" t="s">
        <v>137</v>
      </c>
    </row>
    <row r="88" spans="1:7">
      <c r="A88" s="40">
        <f t="shared" si="1"/>
        <v>29</v>
      </c>
      <c r="B88" s="40" t="s">
        <v>137</v>
      </c>
      <c r="C88" s="40">
        <v>10</v>
      </c>
      <c r="D88" s="40" t="s">
        <v>136</v>
      </c>
      <c r="E88" s="40" t="s">
        <v>137</v>
      </c>
      <c r="F88" s="40" t="s">
        <v>137</v>
      </c>
      <c r="G88" s="40" t="s">
        <v>136</v>
      </c>
    </row>
    <row r="89" spans="1:7">
      <c r="A89" s="40">
        <f t="shared" si="1"/>
        <v>49</v>
      </c>
      <c r="B89" s="40" t="s">
        <v>137</v>
      </c>
      <c r="C89" s="40">
        <v>10</v>
      </c>
      <c r="D89" s="40" t="s">
        <v>136</v>
      </c>
      <c r="E89" s="40" t="s">
        <v>137</v>
      </c>
      <c r="F89" s="40" t="s">
        <v>137</v>
      </c>
      <c r="G89" s="40" t="s">
        <v>137</v>
      </c>
    </row>
    <row r="90" spans="1:7">
      <c r="A90" s="40">
        <f t="shared" si="1"/>
        <v>29</v>
      </c>
      <c r="B90" s="40" t="s">
        <v>137</v>
      </c>
      <c r="C90" s="40">
        <v>10</v>
      </c>
      <c r="D90" s="40" t="s">
        <v>137</v>
      </c>
      <c r="E90" s="40" t="s">
        <v>136</v>
      </c>
      <c r="F90" s="40" t="s">
        <v>136</v>
      </c>
      <c r="G90" s="40" t="s">
        <v>136</v>
      </c>
    </row>
    <row r="91" spans="1:7">
      <c r="A91" s="40">
        <f t="shared" si="1"/>
        <v>49</v>
      </c>
      <c r="B91" s="40" t="s">
        <v>137</v>
      </c>
      <c r="C91" s="40">
        <v>10</v>
      </c>
      <c r="D91" s="40" t="s">
        <v>137</v>
      </c>
      <c r="E91" s="40" t="s">
        <v>136</v>
      </c>
      <c r="F91" s="40" t="s">
        <v>136</v>
      </c>
      <c r="G91" s="40" t="s">
        <v>137</v>
      </c>
    </row>
    <row r="92" spans="1:7">
      <c r="A92" s="40">
        <f t="shared" si="1"/>
        <v>29</v>
      </c>
      <c r="B92" s="40" t="s">
        <v>137</v>
      </c>
      <c r="C92" s="40">
        <v>10</v>
      </c>
      <c r="D92" s="40" t="s">
        <v>137</v>
      </c>
      <c r="E92" s="40" t="s">
        <v>136</v>
      </c>
      <c r="F92" s="40" t="s">
        <v>137</v>
      </c>
      <c r="G92" s="40" t="s">
        <v>136</v>
      </c>
    </row>
    <row r="93" spans="1:7">
      <c r="A93" s="40">
        <f t="shared" si="1"/>
        <v>49</v>
      </c>
      <c r="B93" s="40" t="s">
        <v>137</v>
      </c>
      <c r="C93" s="40">
        <v>10</v>
      </c>
      <c r="D93" s="40" t="s">
        <v>137</v>
      </c>
      <c r="E93" s="40" t="s">
        <v>136</v>
      </c>
      <c r="F93" s="40" t="s">
        <v>137</v>
      </c>
      <c r="G93" s="40" t="s">
        <v>137</v>
      </c>
    </row>
    <row r="94" spans="1:7">
      <c r="A94" s="40">
        <f t="shared" si="1"/>
        <v>29</v>
      </c>
      <c r="B94" s="40" t="s">
        <v>137</v>
      </c>
      <c r="C94" s="40">
        <v>10</v>
      </c>
      <c r="D94" s="40" t="s">
        <v>137</v>
      </c>
      <c r="E94" s="40" t="s">
        <v>137</v>
      </c>
      <c r="F94" s="40" t="s">
        <v>136</v>
      </c>
      <c r="G94" s="40" t="s">
        <v>136</v>
      </c>
    </row>
    <row r="95" spans="1:7">
      <c r="A95" s="40">
        <f t="shared" si="1"/>
        <v>49</v>
      </c>
      <c r="B95" s="40" t="s">
        <v>137</v>
      </c>
      <c r="C95" s="40">
        <v>10</v>
      </c>
      <c r="D95" s="40" t="s">
        <v>137</v>
      </c>
      <c r="E95" s="40" t="s">
        <v>137</v>
      </c>
      <c r="F95" s="40" t="s">
        <v>136</v>
      </c>
      <c r="G95" s="40" t="s">
        <v>137</v>
      </c>
    </row>
    <row r="96" spans="1:7">
      <c r="A96" s="40">
        <f t="shared" si="1"/>
        <v>29</v>
      </c>
      <c r="B96" s="40" t="s">
        <v>137</v>
      </c>
      <c r="C96" s="40">
        <v>10</v>
      </c>
      <c r="D96" s="40" t="s">
        <v>137</v>
      </c>
      <c r="E96" s="40" t="s">
        <v>137</v>
      </c>
      <c r="F96" s="40" t="s">
        <v>137</v>
      </c>
      <c r="G96" s="40" t="s">
        <v>136</v>
      </c>
    </row>
    <row r="97" spans="1:7">
      <c r="A97" s="40">
        <f t="shared" si="1"/>
        <v>49</v>
      </c>
      <c r="B97" s="40" t="s">
        <v>137</v>
      </c>
      <c r="C97" s="40">
        <v>10</v>
      </c>
      <c r="D97" s="40" t="s">
        <v>137</v>
      </c>
      <c r="E97" s="40" t="s">
        <v>137</v>
      </c>
      <c r="F97" s="40" t="s">
        <v>137</v>
      </c>
      <c r="G97" s="40" t="s">
        <v>137</v>
      </c>
    </row>
    <row r="98" spans="1:7">
      <c r="A98" s="40">
        <f t="shared" si="1"/>
        <v>30</v>
      </c>
      <c r="B98" s="40" t="s">
        <v>136</v>
      </c>
      <c r="C98" s="40">
        <v>21</v>
      </c>
      <c r="D98" s="40" t="s">
        <v>136</v>
      </c>
      <c r="E98" s="40" t="s">
        <v>136</v>
      </c>
      <c r="F98" s="40" t="s">
        <v>136</v>
      </c>
      <c r="G98" s="40" t="s">
        <v>136</v>
      </c>
    </row>
    <row r="99" spans="1:7">
      <c r="A99" s="40">
        <f t="shared" si="1"/>
        <v>40</v>
      </c>
      <c r="B99" s="40" t="s">
        <v>136</v>
      </c>
      <c r="C99" s="40">
        <v>21</v>
      </c>
      <c r="D99" s="40" t="s">
        <v>136</v>
      </c>
      <c r="E99" s="40" t="s">
        <v>136</v>
      </c>
      <c r="F99" s="40" t="s">
        <v>136</v>
      </c>
      <c r="G99" s="40" t="s">
        <v>137</v>
      </c>
    </row>
    <row r="100" spans="1:7">
      <c r="A100" s="40">
        <f t="shared" si="1"/>
        <v>40</v>
      </c>
      <c r="B100" s="40" t="s">
        <v>136</v>
      </c>
      <c r="C100" s="40">
        <v>21</v>
      </c>
      <c r="D100" s="40" t="s">
        <v>136</v>
      </c>
      <c r="E100" s="40" t="s">
        <v>136</v>
      </c>
      <c r="F100" s="40" t="s">
        <v>137</v>
      </c>
      <c r="G100" s="40" t="s">
        <v>136</v>
      </c>
    </row>
    <row r="101" spans="1:7">
      <c r="A101" s="40">
        <f t="shared" si="1"/>
        <v>60</v>
      </c>
      <c r="B101" s="40" t="s">
        <v>136</v>
      </c>
      <c r="C101" s="40">
        <v>21</v>
      </c>
      <c r="D101" s="40" t="s">
        <v>136</v>
      </c>
      <c r="E101" s="40" t="s">
        <v>136</v>
      </c>
      <c r="F101" s="40" t="s">
        <v>137</v>
      </c>
      <c r="G101" s="40" t="s">
        <v>137</v>
      </c>
    </row>
    <row r="102" spans="1:7">
      <c r="A102" s="40">
        <f t="shared" si="1"/>
        <v>40</v>
      </c>
      <c r="B102" s="40" t="s">
        <v>136</v>
      </c>
      <c r="C102" s="40">
        <v>21</v>
      </c>
      <c r="D102" s="40" t="s">
        <v>136</v>
      </c>
      <c r="E102" s="40" t="s">
        <v>137</v>
      </c>
      <c r="F102" s="40" t="s">
        <v>136</v>
      </c>
      <c r="G102" s="40" t="s">
        <v>136</v>
      </c>
    </row>
    <row r="103" spans="1:7">
      <c r="A103" s="40">
        <f t="shared" si="1"/>
        <v>60</v>
      </c>
      <c r="B103" s="40" t="s">
        <v>136</v>
      </c>
      <c r="C103" s="40">
        <v>21</v>
      </c>
      <c r="D103" s="40" t="s">
        <v>136</v>
      </c>
      <c r="E103" s="40" t="s">
        <v>137</v>
      </c>
      <c r="F103" s="40" t="s">
        <v>136</v>
      </c>
      <c r="G103" s="40" t="s">
        <v>137</v>
      </c>
    </row>
    <row r="104" spans="1:7">
      <c r="A104" s="40">
        <f t="shared" si="1"/>
        <v>40</v>
      </c>
      <c r="B104" s="40" t="s">
        <v>136</v>
      </c>
      <c r="C104" s="40">
        <v>21</v>
      </c>
      <c r="D104" s="40" t="s">
        <v>136</v>
      </c>
      <c r="E104" s="40" t="s">
        <v>137</v>
      </c>
      <c r="F104" s="40" t="s">
        <v>137</v>
      </c>
      <c r="G104" s="40" t="s">
        <v>136</v>
      </c>
    </row>
    <row r="105" spans="1:7">
      <c r="A105" s="40">
        <f t="shared" si="1"/>
        <v>60</v>
      </c>
      <c r="B105" s="40" t="s">
        <v>136</v>
      </c>
      <c r="C105" s="40">
        <v>21</v>
      </c>
      <c r="D105" s="40" t="s">
        <v>136</v>
      </c>
      <c r="E105" s="40" t="s">
        <v>137</v>
      </c>
      <c r="F105" s="40" t="s">
        <v>137</v>
      </c>
      <c r="G105" s="40" t="s">
        <v>137</v>
      </c>
    </row>
    <row r="106" spans="1:7">
      <c r="A106" s="40">
        <f t="shared" si="1"/>
        <v>40</v>
      </c>
      <c r="B106" s="40" t="s">
        <v>136</v>
      </c>
      <c r="C106" s="40">
        <v>21</v>
      </c>
      <c r="D106" s="40" t="s">
        <v>137</v>
      </c>
      <c r="E106" s="40" t="s">
        <v>136</v>
      </c>
      <c r="F106" s="40" t="s">
        <v>136</v>
      </c>
      <c r="G106" s="40" t="s">
        <v>136</v>
      </c>
    </row>
    <row r="107" spans="1:7">
      <c r="A107" s="40">
        <f t="shared" si="1"/>
        <v>60</v>
      </c>
      <c r="B107" s="40" t="s">
        <v>136</v>
      </c>
      <c r="C107" s="40">
        <v>21</v>
      </c>
      <c r="D107" s="40" t="s">
        <v>137</v>
      </c>
      <c r="E107" s="40" t="s">
        <v>136</v>
      </c>
      <c r="F107" s="40" t="s">
        <v>136</v>
      </c>
      <c r="G107" s="40" t="s">
        <v>137</v>
      </c>
    </row>
    <row r="108" spans="1:7">
      <c r="A108" s="40">
        <f t="shared" si="1"/>
        <v>40</v>
      </c>
      <c r="B108" s="40" t="s">
        <v>136</v>
      </c>
      <c r="C108" s="40">
        <v>21</v>
      </c>
      <c r="D108" s="40" t="s">
        <v>137</v>
      </c>
      <c r="E108" s="40" t="s">
        <v>136</v>
      </c>
      <c r="F108" s="40" t="s">
        <v>137</v>
      </c>
      <c r="G108" s="40" t="s">
        <v>136</v>
      </c>
    </row>
    <row r="109" spans="1:7">
      <c r="A109" s="40">
        <f t="shared" si="1"/>
        <v>60</v>
      </c>
      <c r="B109" s="40" t="s">
        <v>136</v>
      </c>
      <c r="C109" s="40">
        <v>21</v>
      </c>
      <c r="D109" s="40" t="s">
        <v>137</v>
      </c>
      <c r="E109" s="40" t="s">
        <v>136</v>
      </c>
      <c r="F109" s="40" t="s">
        <v>137</v>
      </c>
      <c r="G109" s="40" t="s">
        <v>137</v>
      </c>
    </row>
    <row r="110" spans="1:7">
      <c r="A110" s="40">
        <f t="shared" si="1"/>
        <v>40</v>
      </c>
      <c r="B110" s="40" t="s">
        <v>136</v>
      </c>
      <c r="C110" s="40">
        <v>21</v>
      </c>
      <c r="D110" s="40" t="s">
        <v>137</v>
      </c>
      <c r="E110" s="40" t="s">
        <v>137</v>
      </c>
      <c r="F110" s="40" t="s">
        <v>136</v>
      </c>
      <c r="G110" s="40" t="s">
        <v>136</v>
      </c>
    </row>
    <row r="111" spans="1:7">
      <c r="A111" s="40">
        <f t="shared" si="1"/>
        <v>60</v>
      </c>
      <c r="B111" s="40" t="s">
        <v>136</v>
      </c>
      <c r="C111" s="40">
        <v>21</v>
      </c>
      <c r="D111" s="40" t="s">
        <v>137</v>
      </c>
      <c r="E111" s="40" t="s">
        <v>137</v>
      </c>
      <c r="F111" s="40" t="s">
        <v>136</v>
      </c>
      <c r="G111" s="40" t="s">
        <v>137</v>
      </c>
    </row>
    <row r="112" spans="1:7">
      <c r="A112" s="40">
        <f t="shared" si="1"/>
        <v>40</v>
      </c>
      <c r="B112" s="40" t="s">
        <v>136</v>
      </c>
      <c r="C112" s="40">
        <v>21</v>
      </c>
      <c r="D112" s="40" t="s">
        <v>137</v>
      </c>
      <c r="E112" s="40" t="s">
        <v>137</v>
      </c>
      <c r="F112" s="40" t="s">
        <v>137</v>
      </c>
      <c r="G112" s="40" t="s">
        <v>136</v>
      </c>
    </row>
    <row r="113" spans="1:7">
      <c r="A113" s="40">
        <f t="shared" si="1"/>
        <v>60</v>
      </c>
      <c r="B113" s="40" t="s">
        <v>136</v>
      </c>
      <c r="C113" s="40">
        <v>21</v>
      </c>
      <c r="D113" s="40" t="s">
        <v>137</v>
      </c>
      <c r="E113" s="40" t="s">
        <v>137</v>
      </c>
      <c r="F113" s="40" t="s">
        <v>137</v>
      </c>
      <c r="G113" s="40" t="s">
        <v>137</v>
      </c>
    </row>
    <row r="114" spans="1:7">
      <c r="A114" s="40">
        <f t="shared" si="1"/>
        <v>25</v>
      </c>
      <c r="B114" s="40" t="s">
        <v>137</v>
      </c>
      <c r="C114" s="40">
        <v>21</v>
      </c>
      <c r="D114" s="40" t="s">
        <v>136</v>
      </c>
      <c r="E114" s="40" t="s">
        <v>136</v>
      </c>
      <c r="F114" s="40" t="s">
        <v>136</v>
      </c>
      <c r="G114" s="40" t="s">
        <v>136</v>
      </c>
    </row>
    <row r="115" spans="1:7">
      <c r="A115" s="40">
        <f t="shared" si="1"/>
        <v>30</v>
      </c>
      <c r="B115" s="40" t="s">
        <v>137</v>
      </c>
      <c r="C115" s="40">
        <v>21</v>
      </c>
      <c r="D115" s="40" t="s">
        <v>136</v>
      </c>
      <c r="E115" s="40" t="s">
        <v>136</v>
      </c>
      <c r="F115" s="40" t="s">
        <v>136</v>
      </c>
      <c r="G115" s="40" t="s">
        <v>137</v>
      </c>
    </row>
    <row r="116" spans="1:7">
      <c r="A116" s="40">
        <f t="shared" si="1"/>
        <v>40</v>
      </c>
      <c r="B116" s="40" t="s">
        <v>137</v>
      </c>
      <c r="C116" s="40">
        <v>21</v>
      </c>
      <c r="D116" s="40" t="s">
        <v>136</v>
      </c>
      <c r="E116" s="40" t="s">
        <v>136</v>
      </c>
      <c r="F116" s="40" t="s">
        <v>137</v>
      </c>
      <c r="G116" s="40" t="s">
        <v>136</v>
      </c>
    </row>
    <row r="117" spans="1:7">
      <c r="A117" s="40">
        <f t="shared" si="1"/>
        <v>60</v>
      </c>
      <c r="B117" s="40" t="s">
        <v>137</v>
      </c>
      <c r="C117" s="40">
        <v>21</v>
      </c>
      <c r="D117" s="40" t="s">
        <v>136</v>
      </c>
      <c r="E117" s="40" t="s">
        <v>136</v>
      </c>
      <c r="F117" s="40" t="s">
        <v>137</v>
      </c>
      <c r="G117" s="40" t="s">
        <v>137</v>
      </c>
    </row>
    <row r="118" spans="1:7">
      <c r="A118" s="40">
        <f t="shared" si="1"/>
        <v>40</v>
      </c>
      <c r="B118" s="40" t="s">
        <v>137</v>
      </c>
      <c r="C118" s="40">
        <v>21</v>
      </c>
      <c r="D118" s="40" t="s">
        <v>136</v>
      </c>
      <c r="E118" s="40" t="s">
        <v>137</v>
      </c>
      <c r="F118" s="40" t="s">
        <v>136</v>
      </c>
      <c r="G118" s="40" t="s">
        <v>136</v>
      </c>
    </row>
    <row r="119" spans="1:7">
      <c r="A119" s="40">
        <f t="shared" si="1"/>
        <v>60</v>
      </c>
      <c r="B119" s="40" t="s">
        <v>137</v>
      </c>
      <c r="C119" s="40">
        <v>21</v>
      </c>
      <c r="D119" s="40" t="s">
        <v>136</v>
      </c>
      <c r="E119" s="40" t="s">
        <v>137</v>
      </c>
      <c r="F119" s="40" t="s">
        <v>136</v>
      </c>
      <c r="G119" s="40" t="s">
        <v>137</v>
      </c>
    </row>
    <row r="120" spans="1:7">
      <c r="A120" s="40">
        <f t="shared" si="1"/>
        <v>40</v>
      </c>
      <c r="B120" s="40" t="s">
        <v>137</v>
      </c>
      <c r="C120" s="40">
        <v>21</v>
      </c>
      <c r="D120" s="40" t="s">
        <v>136</v>
      </c>
      <c r="E120" s="40" t="s">
        <v>137</v>
      </c>
      <c r="F120" s="40" t="s">
        <v>137</v>
      </c>
      <c r="G120" s="40" t="s">
        <v>136</v>
      </c>
    </row>
    <row r="121" spans="1:7">
      <c r="A121" s="40">
        <f t="shared" si="1"/>
        <v>60</v>
      </c>
      <c r="B121" s="40" t="s">
        <v>137</v>
      </c>
      <c r="C121" s="40">
        <v>21</v>
      </c>
      <c r="D121" s="40" t="s">
        <v>136</v>
      </c>
      <c r="E121" s="40" t="s">
        <v>137</v>
      </c>
      <c r="F121" s="40" t="s">
        <v>137</v>
      </c>
      <c r="G121" s="40" t="s">
        <v>137</v>
      </c>
    </row>
    <row r="122" spans="1:7">
      <c r="A122" s="40">
        <f t="shared" si="1"/>
        <v>40</v>
      </c>
      <c r="B122" s="40" t="s">
        <v>137</v>
      </c>
      <c r="C122" s="40">
        <v>21</v>
      </c>
      <c r="D122" s="40" t="s">
        <v>137</v>
      </c>
      <c r="E122" s="40" t="s">
        <v>136</v>
      </c>
      <c r="F122" s="40" t="s">
        <v>136</v>
      </c>
      <c r="G122" s="40" t="s">
        <v>136</v>
      </c>
    </row>
    <row r="123" spans="1:7">
      <c r="A123" s="40">
        <f t="shared" si="1"/>
        <v>60</v>
      </c>
      <c r="B123" s="40" t="s">
        <v>137</v>
      </c>
      <c r="C123" s="40">
        <v>21</v>
      </c>
      <c r="D123" s="40" t="s">
        <v>137</v>
      </c>
      <c r="E123" s="40" t="s">
        <v>136</v>
      </c>
      <c r="F123" s="40" t="s">
        <v>136</v>
      </c>
      <c r="G123" s="40" t="s">
        <v>137</v>
      </c>
    </row>
    <row r="124" spans="1:7">
      <c r="A124" s="40">
        <f t="shared" si="1"/>
        <v>40</v>
      </c>
      <c r="B124" s="40" t="s">
        <v>137</v>
      </c>
      <c r="C124" s="40">
        <v>21</v>
      </c>
      <c r="D124" s="40" t="s">
        <v>137</v>
      </c>
      <c r="E124" s="40" t="s">
        <v>136</v>
      </c>
      <c r="F124" s="40" t="s">
        <v>137</v>
      </c>
      <c r="G124" s="40" t="s">
        <v>136</v>
      </c>
    </row>
    <row r="125" spans="1:7">
      <c r="A125" s="40">
        <f t="shared" si="1"/>
        <v>60</v>
      </c>
      <c r="B125" s="40" t="s">
        <v>137</v>
      </c>
      <c r="C125" s="40">
        <v>21</v>
      </c>
      <c r="D125" s="40" t="s">
        <v>137</v>
      </c>
      <c r="E125" s="40" t="s">
        <v>136</v>
      </c>
      <c r="F125" s="40" t="s">
        <v>137</v>
      </c>
      <c r="G125" s="40" t="s">
        <v>137</v>
      </c>
    </row>
    <row r="126" spans="1:7">
      <c r="A126" s="40">
        <f t="shared" si="1"/>
        <v>40</v>
      </c>
      <c r="B126" s="40" t="s">
        <v>137</v>
      </c>
      <c r="C126" s="40">
        <v>21</v>
      </c>
      <c r="D126" s="40" t="s">
        <v>137</v>
      </c>
      <c r="E126" s="40" t="s">
        <v>137</v>
      </c>
      <c r="F126" s="40" t="s">
        <v>136</v>
      </c>
      <c r="G126" s="40" t="s">
        <v>136</v>
      </c>
    </row>
    <row r="127" spans="1:7">
      <c r="A127" s="40">
        <f t="shared" si="1"/>
        <v>60</v>
      </c>
      <c r="B127" s="40" t="s">
        <v>137</v>
      </c>
      <c r="C127" s="40">
        <v>21</v>
      </c>
      <c r="D127" s="40" t="s">
        <v>137</v>
      </c>
      <c r="E127" s="40" t="s">
        <v>137</v>
      </c>
      <c r="F127" s="40" t="s">
        <v>136</v>
      </c>
      <c r="G127" s="40" t="s">
        <v>137</v>
      </c>
    </row>
    <row r="128" spans="1:7">
      <c r="A128" s="40">
        <f t="shared" si="1"/>
        <v>40</v>
      </c>
      <c r="B128" s="40" t="s">
        <v>137</v>
      </c>
      <c r="C128" s="40">
        <v>21</v>
      </c>
      <c r="D128" s="40" t="s">
        <v>137</v>
      </c>
      <c r="E128" s="40" t="s">
        <v>137</v>
      </c>
      <c r="F128" s="40" t="s">
        <v>137</v>
      </c>
      <c r="G128" s="40" t="s">
        <v>136</v>
      </c>
    </row>
    <row r="129" spans="1:7">
      <c r="A129" s="40">
        <f t="shared" si="1"/>
        <v>60</v>
      </c>
      <c r="B129" s="40" t="s">
        <v>137</v>
      </c>
      <c r="C129" s="40">
        <v>21</v>
      </c>
      <c r="D129" s="40" t="s">
        <v>137</v>
      </c>
      <c r="E129" s="40" t="s">
        <v>137</v>
      </c>
      <c r="F129" s="40" t="s">
        <v>137</v>
      </c>
      <c r="G129" s="40" t="s">
        <v>137</v>
      </c>
    </row>
    <row r="130" spans="1:7">
      <c r="A130" s="40">
        <f t="shared" si="1"/>
        <v>72</v>
      </c>
      <c r="B130" s="40" t="s">
        <v>136</v>
      </c>
      <c r="C130" s="40">
        <v>63</v>
      </c>
      <c r="D130" s="40" t="s">
        <v>136</v>
      </c>
      <c r="E130" s="40" t="s">
        <v>136</v>
      </c>
      <c r="F130" s="40" t="s">
        <v>136</v>
      </c>
      <c r="G130" s="40" t="s">
        <v>136</v>
      </c>
    </row>
    <row r="131" spans="1:7">
      <c r="A131" s="40">
        <f t="shared" ref="A131:A194" si="2">IF(G131="Y",2,1)*IF(OR(D131="Y",E131="Y",F131="Y"),20,IF(B131="Y",5,10))+C131-1</f>
        <v>82</v>
      </c>
      <c r="B131" s="40" t="s">
        <v>136</v>
      </c>
      <c r="C131" s="40">
        <v>63</v>
      </c>
      <c r="D131" s="40" t="s">
        <v>136</v>
      </c>
      <c r="E131" s="40" t="s">
        <v>136</v>
      </c>
      <c r="F131" s="40" t="s">
        <v>136</v>
      </c>
      <c r="G131" s="40" t="s">
        <v>137</v>
      </c>
    </row>
    <row r="132" spans="1:7">
      <c r="A132" s="40">
        <f t="shared" si="2"/>
        <v>82</v>
      </c>
      <c r="B132" s="40" t="s">
        <v>136</v>
      </c>
      <c r="C132" s="40">
        <v>63</v>
      </c>
      <c r="D132" s="40" t="s">
        <v>136</v>
      </c>
      <c r="E132" s="40" t="s">
        <v>136</v>
      </c>
      <c r="F132" s="40" t="s">
        <v>137</v>
      </c>
      <c r="G132" s="40" t="s">
        <v>136</v>
      </c>
    </row>
    <row r="133" spans="1:7">
      <c r="A133" s="40">
        <f t="shared" si="2"/>
        <v>102</v>
      </c>
      <c r="B133" s="40" t="s">
        <v>136</v>
      </c>
      <c r="C133" s="40">
        <v>63</v>
      </c>
      <c r="D133" s="40" t="s">
        <v>136</v>
      </c>
      <c r="E133" s="40" t="s">
        <v>136</v>
      </c>
      <c r="F133" s="40" t="s">
        <v>137</v>
      </c>
      <c r="G133" s="40" t="s">
        <v>137</v>
      </c>
    </row>
    <row r="134" spans="1:7">
      <c r="A134" s="40">
        <f t="shared" si="2"/>
        <v>82</v>
      </c>
      <c r="B134" s="40" t="s">
        <v>136</v>
      </c>
      <c r="C134" s="40">
        <v>63</v>
      </c>
      <c r="D134" s="40" t="s">
        <v>136</v>
      </c>
      <c r="E134" s="40" t="s">
        <v>137</v>
      </c>
      <c r="F134" s="40" t="s">
        <v>136</v>
      </c>
      <c r="G134" s="40" t="s">
        <v>136</v>
      </c>
    </row>
    <row r="135" spans="1:7">
      <c r="A135" s="40">
        <f t="shared" si="2"/>
        <v>102</v>
      </c>
      <c r="B135" s="40" t="s">
        <v>136</v>
      </c>
      <c r="C135" s="40">
        <v>63</v>
      </c>
      <c r="D135" s="40" t="s">
        <v>136</v>
      </c>
      <c r="E135" s="40" t="s">
        <v>137</v>
      </c>
      <c r="F135" s="40" t="s">
        <v>136</v>
      </c>
      <c r="G135" s="40" t="s">
        <v>137</v>
      </c>
    </row>
    <row r="136" spans="1:7">
      <c r="A136" s="40">
        <f t="shared" si="2"/>
        <v>82</v>
      </c>
      <c r="B136" s="40" t="s">
        <v>136</v>
      </c>
      <c r="C136" s="40">
        <v>63</v>
      </c>
      <c r="D136" s="40" t="s">
        <v>136</v>
      </c>
      <c r="E136" s="40" t="s">
        <v>137</v>
      </c>
      <c r="F136" s="40" t="s">
        <v>137</v>
      </c>
      <c r="G136" s="40" t="s">
        <v>136</v>
      </c>
    </row>
    <row r="137" spans="1:7">
      <c r="A137" s="40">
        <f t="shared" si="2"/>
        <v>102</v>
      </c>
      <c r="B137" s="40" t="s">
        <v>136</v>
      </c>
      <c r="C137" s="40">
        <v>63</v>
      </c>
      <c r="D137" s="40" t="s">
        <v>136</v>
      </c>
      <c r="E137" s="40" t="s">
        <v>137</v>
      </c>
      <c r="F137" s="40" t="s">
        <v>137</v>
      </c>
      <c r="G137" s="40" t="s">
        <v>137</v>
      </c>
    </row>
    <row r="138" spans="1:7">
      <c r="A138" s="40">
        <f t="shared" si="2"/>
        <v>82</v>
      </c>
      <c r="B138" s="40" t="s">
        <v>136</v>
      </c>
      <c r="C138" s="40">
        <v>63</v>
      </c>
      <c r="D138" s="40" t="s">
        <v>137</v>
      </c>
      <c r="E138" s="40" t="s">
        <v>136</v>
      </c>
      <c r="F138" s="40" t="s">
        <v>136</v>
      </c>
      <c r="G138" s="40" t="s">
        <v>136</v>
      </c>
    </row>
    <row r="139" spans="1:7">
      <c r="A139" s="40">
        <f t="shared" si="2"/>
        <v>102</v>
      </c>
      <c r="B139" s="40" t="s">
        <v>136</v>
      </c>
      <c r="C139" s="40">
        <v>63</v>
      </c>
      <c r="D139" s="40" t="s">
        <v>137</v>
      </c>
      <c r="E139" s="40" t="s">
        <v>136</v>
      </c>
      <c r="F139" s="40" t="s">
        <v>136</v>
      </c>
      <c r="G139" s="40" t="s">
        <v>137</v>
      </c>
    </row>
    <row r="140" spans="1:7">
      <c r="A140" s="40">
        <f t="shared" si="2"/>
        <v>82</v>
      </c>
      <c r="B140" s="40" t="s">
        <v>136</v>
      </c>
      <c r="C140" s="40">
        <v>63</v>
      </c>
      <c r="D140" s="40" t="s">
        <v>137</v>
      </c>
      <c r="E140" s="40" t="s">
        <v>136</v>
      </c>
      <c r="F140" s="40" t="s">
        <v>137</v>
      </c>
      <c r="G140" s="40" t="s">
        <v>136</v>
      </c>
    </row>
    <row r="141" spans="1:7">
      <c r="A141" s="40">
        <f t="shared" si="2"/>
        <v>102</v>
      </c>
      <c r="B141" s="40" t="s">
        <v>136</v>
      </c>
      <c r="C141" s="40">
        <v>63</v>
      </c>
      <c r="D141" s="40" t="s">
        <v>137</v>
      </c>
      <c r="E141" s="40" t="s">
        <v>136</v>
      </c>
      <c r="F141" s="40" t="s">
        <v>137</v>
      </c>
      <c r="G141" s="40" t="s">
        <v>137</v>
      </c>
    </row>
    <row r="142" spans="1:7">
      <c r="A142" s="40">
        <f t="shared" si="2"/>
        <v>82</v>
      </c>
      <c r="B142" s="40" t="s">
        <v>136</v>
      </c>
      <c r="C142" s="40">
        <v>63</v>
      </c>
      <c r="D142" s="40" t="s">
        <v>137</v>
      </c>
      <c r="E142" s="40" t="s">
        <v>137</v>
      </c>
      <c r="F142" s="40" t="s">
        <v>136</v>
      </c>
      <c r="G142" s="40" t="s">
        <v>136</v>
      </c>
    </row>
    <row r="143" spans="1:7">
      <c r="A143" s="40">
        <f t="shared" si="2"/>
        <v>102</v>
      </c>
      <c r="B143" s="40" t="s">
        <v>136</v>
      </c>
      <c r="C143" s="40">
        <v>63</v>
      </c>
      <c r="D143" s="40" t="s">
        <v>137</v>
      </c>
      <c r="E143" s="40" t="s">
        <v>137</v>
      </c>
      <c r="F143" s="40" t="s">
        <v>136</v>
      </c>
      <c r="G143" s="40" t="s">
        <v>137</v>
      </c>
    </row>
    <row r="144" spans="1:7">
      <c r="A144" s="40">
        <f t="shared" si="2"/>
        <v>82</v>
      </c>
      <c r="B144" s="40" t="s">
        <v>136</v>
      </c>
      <c r="C144" s="40">
        <v>63</v>
      </c>
      <c r="D144" s="40" t="s">
        <v>137</v>
      </c>
      <c r="E144" s="40" t="s">
        <v>137</v>
      </c>
      <c r="F144" s="40" t="s">
        <v>137</v>
      </c>
      <c r="G144" s="40" t="s">
        <v>136</v>
      </c>
    </row>
    <row r="145" spans="1:7">
      <c r="A145" s="40">
        <f t="shared" si="2"/>
        <v>102</v>
      </c>
      <c r="B145" s="40" t="s">
        <v>136</v>
      </c>
      <c r="C145" s="40">
        <v>63</v>
      </c>
      <c r="D145" s="40" t="s">
        <v>137</v>
      </c>
      <c r="E145" s="40" t="s">
        <v>137</v>
      </c>
      <c r="F145" s="40" t="s">
        <v>137</v>
      </c>
      <c r="G145" s="40" t="s">
        <v>137</v>
      </c>
    </row>
    <row r="146" spans="1:7">
      <c r="A146" s="40">
        <f t="shared" si="2"/>
        <v>67</v>
      </c>
      <c r="B146" s="40" t="s">
        <v>137</v>
      </c>
      <c r="C146" s="40">
        <v>63</v>
      </c>
      <c r="D146" s="40" t="s">
        <v>136</v>
      </c>
      <c r="E146" s="40" t="s">
        <v>136</v>
      </c>
      <c r="F146" s="40" t="s">
        <v>136</v>
      </c>
      <c r="G146" s="40" t="s">
        <v>136</v>
      </c>
    </row>
    <row r="147" spans="1:7">
      <c r="A147" s="40">
        <f t="shared" si="2"/>
        <v>72</v>
      </c>
      <c r="B147" s="40" t="s">
        <v>137</v>
      </c>
      <c r="C147" s="40">
        <v>63</v>
      </c>
      <c r="D147" s="40" t="s">
        <v>136</v>
      </c>
      <c r="E147" s="40" t="s">
        <v>136</v>
      </c>
      <c r="F147" s="40" t="s">
        <v>136</v>
      </c>
      <c r="G147" s="40" t="s">
        <v>137</v>
      </c>
    </row>
    <row r="148" spans="1:7">
      <c r="A148" s="40">
        <f t="shared" si="2"/>
        <v>82</v>
      </c>
      <c r="B148" s="40" t="s">
        <v>137</v>
      </c>
      <c r="C148" s="40">
        <v>63</v>
      </c>
      <c r="D148" s="40" t="s">
        <v>136</v>
      </c>
      <c r="E148" s="40" t="s">
        <v>136</v>
      </c>
      <c r="F148" s="40" t="s">
        <v>137</v>
      </c>
      <c r="G148" s="40" t="s">
        <v>136</v>
      </c>
    </row>
    <row r="149" spans="1:7">
      <c r="A149" s="40">
        <f t="shared" si="2"/>
        <v>102</v>
      </c>
      <c r="B149" s="40" t="s">
        <v>137</v>
      </c>
      <c r="C149" s="40">
        <v>63</v>
      </c>
      <c r="D149" s="40" t="s">
        <v>136</v>
      </c>
      <c r="E149" s="40" t="s">
        <v>136</v>
      </c>
      <c r="F149" s="40" t="s">
        <v>137</v>
      </c>
      <c r="G149" s="40" t="s">
        <v>137</v>
      </c>
    </row>
    <row r="150" spans="1:7">
      <c r="A150" s="40">
        <f t="shared" si="2"/>
        <v>82</v>
      </c>
      <c r="B150" s="40" t="s">
        <v>137</v>
      </c>
      <c r="C150" s="40">
        <v>63</v>
      </c>
      <c r="D150" s="40" t="s">
        <v>136</v>
      </c>
      <c r="E150" s="40" t="s">
        <v>137</v>
      </c>
      <c r="F150" s="40" t="s">
        <v>136</v>
      </c>
      <c r="G150" s="40" t="s">
        <v>136</v>
      </c>
    </row>
    <row r="151" spans="1:7">
      <c r="A151" s="40">
        <f t="shared" si="2"/>
        <v>102</v>
      </c>
      <c r="B151" s="40" t="s">
        <v>137</v>
      </c>
      <c r="C151" s="40">
        <v>63</v>
      </c>
      <c r="D151" s="40" t="s">
        <v>136</v>
      </c>
      <c r="E151" s="40" t="s">
        <v>137</v>
      </c>
      <c r="F151" s="40" t="s">
        <v>136</v>
      </c>
      <c r="G151" s="40" t="s">
        <v>137</v>
      </c>
    </row>
    <row r="152" spans="1:7">
      <c r="A152" s="40">
        <f t="shared" si="2"/>
        <v>82</v>
      </c>
      <c r="B152" s="40" t="s">
        <v>137</v>
      </c>
      <c r="C152" s="40">
        <v>63</v>
      </c>
      <c r="D152" s="40" t="s">
        <v>136</v>
      </c>
      <c r="E152" s="40" t="s">
        <v>137</v>
      </c>
      <c r="F152" s="40" t="s">
        <v>137</v>
      </c>
      <c r="G152" s="40" t="s">
        <v>136</v>
      </c>
    </row>
    <row r="153" spans="1:7">
      <c r="A153" s="40">
        <f t="shared" si="2"/>
        <v>102</v>
      </c>
      <c r="B153" s="40" t="s">
        <v>137</v>
      </c>
      <c r="C153" s="40">
        <v>63</v>
      </c>
      <c r="D153" s="40" t="s">
        <v>136</v>
      </c>
      <c r="E153" s="40" t="s">
        <v>137</v>
      </c>
      <c r="F153" s="40" t="s">
        <v>137</v>
      </c>
      <c r="G153" s="40" t="s">
        <v>137</v>
      </c>
    </row>
    <row r="154" spans="1:7">
      <c r="A154" s="40">
        <f t="shared" si="2"/>
        <v>82</v>
      </c>
      <c r="B154" s="40" t="s">
        <v>137</v>
      </c>
      <c r="C154" s="40">
        <v>63</v>
      </c>
      <c r="D154" s="40" t="s">
        <v>137</v>
      </c>
      <c r="E154" s="40" t="s">
        <v>136</v>
      </c>
      <c r="F154" s="40" t="s">
        <v>136</v>
      </c>
      <c r="G154" s="40" t="s">
        <v>136</v>
      </c>
    </row>
    <row r="155" spans="1:7">
      <c r="A155" s="40">
        <f t="shared" si="2"/>
        <v>102</v>
      </c>
      <c r="B155" s="40" t="s">
        <v>137</v>
      </c>
      <c r="C155" s="40">
        <v>63</v>
      </c>
      <c r="D155" s="40" t="s">
        <v>137</v>
      </c>
      <c r="E155" s="40" t="s">
        <v>136</v>
      </c>
      <c r="F155" s="40" t="s">
        <v>136</v>
      </c>
      <c r="G155" s="40" t="s">
        <v>137</v>
      </c>
    </row>
    <row r="156" spans="1:7">
      <c r="A156" s="40">
        <f t="shared" si="2"/>
        <v>82</v>
      </c>
      <c r="B156" s="40" t="s">
        <v>137</v>
      </c>
      <c r="C156" s="40">
        <v>63</v>
      </c>
      <c r="D156" s="40" t="s">
        <v>137</v>
      </c>
      <c r="E156" s="40" t="s">
        <v>136</v>
      </c>
      <c r="F156" s="40" t="s">
        <v>137</v>
      </c>
      <c r="G156" s="40" t="s">
        <v>136</v>
      </c>
    </row>
    <row r="157" spans="1:7">
      <c r="A157" s="40">
        <f t="shared" si="2"/>
        <v>102</v>
      </c>
      <c r="B157" s="40" t="s">
        <v>137</v>
      </c>
      <c r="C157" s="40">
        <v>63</v>
      </c>
      <c r="D157" s="40" t="s">
        <v>137</v>
      </c>
      <c r="E157" s="40" t="s">
        <v>136</v>
      </c>
      <c r="F157" s="40" t="s">
        <v>137</v>
      </c>
      <c r="G157" s="40" t="s">
        <v>137</v>
      </c>
    </row>
    <row r="158" spans="1:7">
      <c r="A158" s="40">
        <f t="shared" si="2"/>
        <v>82</v>
      </c>
      <c r="B158" s="40" t="s">
        <v>137</v>
      </c>
      <c r="C158" s="40">
        <v>63</v>
      </c>
      <c r="D158" s="40" t="s">
        <v>137</v>
      </c>
      <c r="E158" s="40" t="s">
        <v>137</v>
      </c>
      <c r="F158" s="40" t="s">
        <v>136</v>
      </c>
      <c r="G158" s="40" t="s">
        <v>136</v>
      </c>
    </row>
    <row r="159" spans="1:7">
      <c r="A159" s="40">
        <f t="shared" si="2"/>
        <v>102</v>
      </c>
      <c r="B159" s="40" t="s">
        <v>137</v>
      </c>
      <c r="C159" s="40">
        <v>63</v>
      </c>
      <c r="D159" s="40" t="s">
        <v>137</v>
      </c>
      <c r="E159" s="40" t="s">
        <v>137</v>
      </c>
      <c r="F159" s="40" t="s">
        <v>136</v>
      </c>
      <c r="G159" s="40" t="s">
        <v>137</v>
      </c>
    </row>
    <row r="160" spans="1:7">
      <c r="A160" s="40">
        <f t="shared" si="2"/>
        <v>82</v>
      </c>
      <c r="B160" s="40" t="s">
        <v>137</v>
      </c>
      <c r="C160" s="40">
        <v>63</v>
      </c>
      <c r="D160" s="40" t="s">
        <v>137</v>
      </c>
      <c r="E160" s="40" t="s">
        <v>137</v>
      </c>
      <c r="F160" s="40" t="s">
        <v>137</v>
      </c>
      <c r="G160" s="40" t="s">
        <v>136</v>
      </c>
    </row>
    <row r="161" spans="1:7">
      <c r="A161" s="40">
        <f t="shared" si="2"/>
        <v>102</v>
      </c>
      <c r="B161" s="40" t="s">
        <v>137</v>
      </c>
      <c r="C161" s="40">
        <v>63</v>
      </c>
      <c r="D161" s="40" t="s">
        <v>137</v>
      </c>
      <c r="E161" s="40" t="s">
        <v>137</v>
      </c>
      <c r="F161" s="40" t="s">
        <v>137</v>
      </c>
      <c r="G161" s="40" t="s">
        <v>137</v>
      </c>
    </row>
    <row r="162" spans="1:7">
      <c r="A162" s="40">
        <f t="shared" si="2"/>
        <v>134</v>
      </c>
      <c r="B162" s="40" t="s">
        <v>136</v>
      </c>
      <c r="C162" s="40">
        <v>125</v>
      </c>
      <c r="D162" s="40" t="s">
        <v>136</v>
      </c>
      <c r="E162" s="40" t="s">
        <v>136</v>
      </c>
      <c r="F162" s="40" t="s">
        <v>136</v>
      </c>
      <c r="G162" s="40" t="s">
        <v>136</v>
      </c>
    </row>
    <row r="163" spans="1:7">
      <c r="A163" s="40">
        <f t="shared" si="2"/>
        <v>144</v>
      </c>
      <c r="B163" s="40" t="s">
        <v>136</v>
      </c>
      <c r="C163" s="40">
        <v>125</v>
      </c>
      <c r="D163" s="40" t="s">
        <v>136</v>
      </c>
      <c r="E163" s="40" t="s">
        <v>136</v>
      </c>
      <c r="F163" s="40" t="s">
        <v>136</v>
      </c>
      <c r="G163" s="40" t="s">
        <v>137</v>
      </c>
    </row>
    <row r="164" spans="1:7">
      <c r="A164" s="40">
        <f t="shared" si="2"/>
        <v>144</v>
      </c>
      <c r="B164" s="40" t="s">
        <v>136</v>
      </c>
      <c r="C164" s="40">
        <v>125</v>
      </c>
      <c r="D164" s="40" t="s">
        <v>136</v>
      </c>
      <c r="E164" s="40" t="s">
        <v>136</v>
      </c>
      <c r="F164" s="40" t="s">
        <v>137</v>
      </c>
      <c r="G164" s="40" t="s">
        <v>136</v>
      </c>
    </row>
    <row r="165" spans="1:7">
      <c r="A165" s="40">
        <f t="shared" si="2"/>
        <v>164</v>
      </c>
      <c r="B165" s="40" t="s">
        <v>136</v>
      </c>
      <c r="C165" s="40">
        <v>125</v>
      </c>
      <c r="D165" s="40" t="s">
        <v>136</v>
      </c>
      <c r="E165" s="40" t="s">
        <v>136</v>
      </c>
      <c r="F165" s="40" t="s">
        <v>137</v>
      </c>
      <c r="G165" s="40" t="s">
        <v>137</v>
      </c>
    </row>
    <row r="166" spans="1:7">
      <c r="A166" s="40">
        <f t="shared" si="2"/>
        <v>144</v>
      </c>
      <c r="B166" s="40" t="s">
        <v>136</v>
      </c>
      <c r="C166" s="40">
        <v>125</v>
      </c>
      <c r="D166" s="40" t="s">
        <v>136</v>
      </c>
      <c r="E166" s="40" t="s">
        <v>137</v>
      </c>
      <c r="F166" s="40" t="s">
        <v>136</v>
      </c>
      <c r="G166" s="40" t="s">
        <v>136</v>
      </c>
    </row>
    <row r="167" spans="1:7">
      <c r="A167" s="40">
        <f t="shared" si="2"/>
        <v>164</v>
      </c>
      <c r="B167" s="40" t="s">
        <v>136</v>
      </c>
      <c r="C167" s="40">
        <v>125</v>
      </c>
      <c r="D167" s="40" t="s">
        <v>136</v>
      </c>
      <c r="E167" s="40" t="s">
        <v>137</v>
      </c>
      <c r="F167" s="40" t="s">
        <v>136</v>
      </c>
      <c r="G167" s="40" t="s">
        <v>137</v>
      </c>
    </row>
    <row r="168" spans="1:7">
      <c r="A168" s="40">
        <f t="shared" si="2"/>
        <v>144</v>
      </c>
      <c r="B168" s="40" t="s">
        <v>136</v>
      </c>
      <c r="C168" s="40">
        <v>125</v>
      </c>
      <c r="D168" s="40" t="s">
        <v>136</v>
      </c>
      <c r="E168" s="40" t="s">
        <v>137</v>
      </c>
      <c r="F168" s="40" t="s">
        <v>137</v>
      </c>
      <c r="G168" s="40" t="s">
        <v>136</v>
      </c>
    </row>
    <row r="169" spans="1:7">
      <c r="A169" s="40">
        <f t="shared" si="2"/>
        <v>164</v>
      </c>
      <c r="B169" s="40" t="s">
        <v>136</v>
      </c>
      <c r="C169" s="40">
        <v>125</v>
      </c>
      <c r="D169" s="40" t="s">
        <v>136</v>
      </c>
      <c r="E169" s="40" t="s">
        <v>137</v>
      </c>
      <c r="F169" s="40" t="s">
        <v>137</v>
      </c>
      <c r="G169" s="40" t="s">
        <v>137</v>
      </c>
    </row>
    <row r="170" spans="1:7">
      <c r="A170" s="40">
        <f t="shared" si="2"/>
        <v>144</v>
      </c>
      <c r="B170" s="40" t="s">
        <v>136</v>
      </c>
      <c r="C170" s="40">
        <v>125</v>
      </c>
      <c r="D170" s="40" t="s">
        <v>137</v>
      </c>
      <c r="E170" s="40" t="s">
        <v>136</v>
      </c>
      <c r="F170" s="40" t="s">
        <v>136</v>
      </c>
      <c r="G170" s="40" t="s">
        <v>136</v>
      </c>
    </row>
    <row r="171" spans="1:7">
      <c r="A171" s="40">
        <f t="shared" si="2"/>
        <v>164</v>
      </c>
      <c r="B171" s="40" t="s">
        <v>136</v>
      </c>
      <c r="C171" s="40">
        <v>125</v>
      </c>
      <c r="D171" s="40" t="s">
        <v>137</v>
      </c>
      <c r="E171" s="40" t="s">
        <v>136</v>
      </c>
      <c r="F171" s="40" t="s">
        <v>136</v>
      </c>
      <c r="G171" s="40" t="s">
        <v>137</v>
      </c>
    </row>
    <row r="172" spans="1:7">
      <c r="A172" s="40">
        <f t="shared" si="2"/>
        <v>144</v>
      </c>
      <c r="B172" s="40" t="s">
        <v>136</v>
      </c>
      <c r="C172" s="40">
        <v>125</v>
      </c>
      <c r="D172" s="40" t="s">
        <v>137</v>
      </c>
      <c r="E172" s="40" t="s">
        <v>136</v>
      </c>
      <c r="F172" s="40" t="s">
        <v>137</v>
      </c>
      <c r="G172" s="40" t="s">
        <v>136</v>
      </c>
    </row>
    <row r="173" spans="1:7">
      <c r="A173" s="40">
        <f t="shared" si="2"/>
        <v>164</v>
      </c>
      <c r="B173" s="40" t="s">
        <v>136</v>
      </c>
      <c r="C173" s="40">
        <v>125</v>
      </c>
      <c r="D173" s="40" t="s">
        <v>137</v>
      </c>
      <c r="E173" s="40" t="s">
        <v>136</v>
      </c>
      <c r="F173" s="40" t="s">
        <v>137</v>
      </c>
      <c r="G173" s="40" t="s">
        <v>137</v>
      </c>
    </row>
    <row r="174" spans="1:7">
      <c r="A174" s="40">
        <f t="shared" si="2"/>
        <v>144</v>
      </c>
      <c r="B174" s="40" t="s">
        <v>136</v>
      </c>
      <c r="C174" s="40">
        <v>125</v>
      </c>
      <c r="D174" s="40" t="s">
        <v>137</v>
      </c>
      <c r="E174" s="40" t="s">
        <v>137</v>
      </c>
      <c r="F174" s="40" t="s">
        <v>136</v>
      </c>
      <c r="G174" s="40" t="s">
        <v>136</v>
      </c>
    </row>
    <row r="175" spans="1:7">
      <c r="A175" s="40">
        <f t="shared" si="2"/>
        <v>164</v>
      </c>
      <c r="B175" s="40" t="s">
        <v>136</v>
      </c>
      <c r="C175" s="40">
        <v>125</v>
      </c>
      <c r="D175" s="40" t="s">
        <v>137</v>
      </c>
      <c r="E175" s="40" t="s">
        <v>137</v>
      </c>
      <c r="F175" s="40" t="s">
        <v>136</v>
      </c>
      <c r="G175" s="40" t="s">
        <v>137</v>
      </c>
    </row>
    <row r="176" spans="1:7">
      <c r="A176" s="40">
        <f t="shared" si="2"/>
        <v>144</v>
      </c>
      <c r="B176" s="40" t="s">
        <v>136</v>
      </c>
      <c r="C176" s="40">
        <v>125</v>
      </c>
      <c r="D176" s="40" t="s">
        <v>137</v>
      </c>
      <c r="E176" s="40" t="s">
        <v>137</v>
      </c>
      <c r="F176" s="40" t="s">
        <v>137</v>
      </c>
      <c r="G176" s="40" t="s">
        <v>136</v>
      </c>
    </row>
    <row r="177" spans="1:7">
      <c r="A177" s="40">
        <f t="shared" si="2"/>
        <v>164</v>
      </c>
      <c r="B177" s="40" t="s">
        <v>136</v>
      </c>
      <c r="C177" s="40">
        <v>125</v>
      </c>
      <c r="D177" s="40" t="s">
        <v>137</v>
      </c>
      <c r="E177" s="40" t="s">
        <v>137</v>
      </c>
      <c r="F177" s="40" t="s">
        <v>137</v>
      </c>
      <c r="G177" s="40" t="s">
        <v>137</v>
      </c>
    </row>
    <row r="178" spans="1:7">
      <c r="A178" s="40">
        <f t="shared" si="2"/>
        <v>129</v>
      </c>
      <c r="B178" s="40" t="s">
        <v>137</v>
      </c>
      <c r="C178" s="40">
        <v>125</v>
      </c>
      <c r="D178" s="40" t="s">
        <v>136</v>
      </c>
      <c r="E178" s="40" t="s">
        <v>136</v>
      </c>
      <c r="F178" s="40" t="s">
        <v>136</v>
      </c>
      <c r="G178" s="40" t="s">
        <v>136</v>
      </c>
    </row>
    <row r="179" spans="1:7">
      <c r="A179" s="40">
        <f t="shared" si="2"/>
        <v>134</v>
      </c>
      <c r="B179" s="40" t="s">
        <v>137</v>
      </c>
      <c r="C179" s="40">
        <v>125</v>
      </c>
      <c r="D179" s="40" t="s">
        <v>136</v>
      </c>
      <c r="E179" s="40" t="s">
        <v>136</v>
      </c>
      <c r="F179" s="40" t="s">
        <v>136</v>
      </c>
      <c r="G179" s="40" t="s">
        <v>137</v>
      </c>
    </row>
    <row r="180" spans="1:7">
      <c r="A180" s="40">
        <f t="shared" si="2"/>
        <v>144</v>
      </c>
      <c r="B180" s="40" t="s">
        <v>137</v>
      </c>
      <c r="C180" s="40">
        <v>125</v>
      </c>
      <c r="D180" s="40" t="s">
        <v>136</v>
      </c>
      <c r="E180" s="40" t="s">
        <v>136</v>
      </c>
      <c r="F180" s="40" t="s">
        <v>137</v>
      </c>
      <c r="G180" s="40" t="s">
        <v>136</v>
      </c>
    </row>
    <row r="181" spans="1:7">
      <c r="A181" s="40">
        <f t="shared" si="2"/>
        <v>164</v>
      </c>
      <c r="B181" s="40" t="s">
        <v>137</v>
      </c>
      <c r="C181" s="40">
        <v>125</v>
      </c>
      <c r="D181" s="40" t="s">
        <v>136</v>
      </c>
      <c r="E181" s="40" t="s">
        <v>136</v>
      </c>
      <c r="F181" s="40" t="s">
        <v>137</v>
      </c>
      <c r="G181" s="40" t="s">
        <v>137</v>
      </c>
    </row>
    <row r="182" spans="1:7">
      <c r="A182" s="40">
        <f t="shared" si="2"/>
        <v>144</v>
      </c>
      <c r="B182" s="40" t="s">
        <v>137</v>
      </c>
      <c r="C182" s="40">
        <v>125</v>
      </c>
      <c r="D182" s="40" t="s">
        <v>136</v>
      </c>
      <c r="E182" s="40" t="s">
        <v>137</v>
      </c>
      <c r="F182" s="40" t="s">
        <v>136</v>
      </c>
      <c r="G182" s="40" t="s">
        <v>136</v>
      </c>
    </row>
    <row r="183" spans="1:7">
      <c r="A183" s="40">
        <f t="shared" si="2"/>
        <v>164</v>
      </c>
      <c r="B183" s="40" t="s">
        <v>137</v>
      </c>
      <c r="C183" s="40">
        <v>125</v>
      </c>
      <c r="D183" s="40" t="s">
        <v>136</v>
      </c>
      <c r="E183" s="40" t="s">
        <v>137</v>
      </c>
      <c r="F183" s="40" t="s">
        <v>136</v>
      </c>
      <c r="G183" s="40" t="s">
        <v>137</v>
      </c>
    </row>
    <row r="184" spans="1:7">
      <c r="A184" s="40">
        <f t="shared" si="2"/>
        <v>144</v>
      </c>
      <c r="B184" s="40" t="s">
        <v>137</v>
      </c>
      <c r="C184" s="40">
        <v>125</v>
      </c>
      <c r="D184" s="40" t="s">
        <v>136</v>
      </c>
      <c r="E184" s="40" t="s">
        <v>137</v>
      </c>
      <c r="F184" s="40" t="s">
        <v>137</v>
      </c>
      <c r="G184" s="40" t="s">
        <v>136</v>
      </c>
    </row>
    <row r="185" spans="1:7">
      <c r="A185" s="40">
        <f t="shared" si="2"/>
        <v>164</v>
      </c>
      <c r="B185" s="40" t="s">
        <v>137</v>
      </c>
      <c r="C185" s="40">
        <v>125</v>
      </c>
      <c r="D185" s="40" t="s">
        <v>136</v>
      </c>
      <c r="E185" s="40" t="s">
        <v>137</v>
      </c>
      <c r="F185" s="40" t="s">
        <v>137</v>
      </c>
      <c r="G185" s="40" t="s">
        <v>137</v>
      </c>
    </row>
    <row r="186" spans="1:7">
      <c r="A186" s="40">
        <f t="shared" si="2"/>
        <v>144</v>
      </c>
      <c r="B186" s="40" t="s">
        <v>137</v>
      </c>
      <c r="C186" s="40">
        <v>125</v>
      </c>
      <c r="D186" s="40" t="s">
        <v>137</v>
      </c>
      <c r="E186" s="40" t="s">
        <v>136</v>
      </c>
      <c r="F186" s="40" t="s">
        <v>136</v>
      </c>
      <c r="G186" s="40" t="s">
        <v>136</v>
      </c>
    </row>
    <row r="187" spans="1:7">
      <c r="A187" s="40">
        <f t="shared" si="2"/>
        <v>164</v>
      </c>
      <c r="B187" s="40" t="s">
        <v>137</v>
      </c>
      <c r="C187" s="40">
        <v>125</v>
      </c>
      <c r="D187" s="40" t="s">
        <v>137</v>
      </c>
      <c r="E187" s="40" t="s">
        <v>136</v>
      </c>
      <c r="F187" s="40" t="s">
        <v>136</v>
      </c>
      <c r="G187" s="40" t="s">
        <v>137</v>
      </c>
    </row>
    <row r="188" spans="1:7">
      <c r="A188" s="40">
        <f t="shared" si="2"/>
        <v>144</v>
      </c>
      <c r="B188" s="40" t="s">
        <v>137</v>
      </c>
      <c r="C188" s="40">
        <v>125</v>
      </c>
      <c r="D188" s="40" t="s">
        <v>137</v>
      </c>
      <c r="E188" s="40" t="s">
        <v>136</v>
      </c>
      <c r="F188" s="40" t="s">
        <v>137</v>
      </c>
      <c r="G188" s="40" t="s">
        <v>136</v>
      </c>
    </row>
    <row r="189" spans="1:7">
      <c r="A189" s="40">
        <f t="shared" si="2"/>
        <v>164</v>
      </c>
      <c r="B189" s="40" t="s">
        <v>137</v>
      </c>
      <c r="C189" s="40">
        <v>125</v>
      </c>
      <c r="D189" s="40" t="s">
        <v>137</v>
      </c>
      <c r="E189" s="40" t="s">
        <v>136</v>
      </c>
      <c r="F189" s="40" t="s">
        <v>137</v>
      </c>
      <c r="G189" s="40" t="s">
        <v>137</v>
      </c>
    </row>
    <row r="190" spans="1:7">
      <c r="A190" s="40">
        <f t="shared" si="2"/>
        <v>144</v>
      </c>
      <c r="B190" s="40" t="s">
        <v>137</v>
      </c>
      <c r="C190" s="40">
        <v>125</v>
      </c>
      <c r="D190" s="40" t="s">
        <v>137</v>
      </c>
      <c r="E190" s="40" t="s">
        <v>137</v>
      </c>
      <c r="F190" s="40" t="s">
        <v>136</v>
      </c>
      <c r="G190" s="40" t="s">
        <v>136</v>
      </c>
    </row>
    <row r="191" spans="1:7">
      <c r="A191" s="40">
        <f t="shared" si="2"/>
        <v>164</v>
      </c>
      <c r="B191" s="40" t="s">
        <v>137</v>
      </c>
      <c r="C191" s="40">
        <v>125</v>
      </c>
      <c r="D191" s="40" t="s">
        <v>137</v>
      </c>
      <c r="E191" s="40" t="s">
        <v>137</v>
      </c>
      <c r="F191" s="40" t="s">
        <v>136</v>
      </c>
      <c r="G191" s="40" t="s">
        <v>137</v>
      </c>
    </row>
    <row r="192" spans="1:7">
      <c r="A192" s="40">
        <f t="shared" si="2"/>
        <v>144</v>
      </c>
      <c r="B192" s="40" t="s">
        <v>137</v>
      </c>
      <c r="C192" s="40">
        <v>125</v>
      </c>
      <c r="D192" s="40" t="s">
        <v>137</v>
      </c>
      <c r="E192" s="40" t="s">
        <v>137</v>
      </c>
      <c r="F192" s="40" t="s">
        <v>137</v>
      </c>
      <c r="G192" s="40" t="s">
        <v>136</v>
      </c>
    </row>
    <row r="193" spans="1:7">
      <c r="A193" s="40">
        <f t="shared" si="2"/>
        <v>164</v>
      </c>
      <c r="B193" s="40" t="s">
        <v>137</v>
      </c>
      <c r="C193" s="40">
        <v>125</v>
      </c>
      <c r="D193" s="40" t="s">
        <v>137</v>
      </c>
      <c r="E193" s="40" t="s">
        <v>137</v>
      </c>
      <c r="F193" s="40" t="s">
        <v>137</v>
      </c>
      <c r="G193" s="40" t="s">
        <v>137</v>
      </c>
    </row>
    <row r="194" spans="1:7">
      <c r="A194" s="40">
        <f t="shared" si="2"/>
        <v>259</v>
      </c>
      <c r="B194" s="40" t="s">
        <v>136</v>
      </c>
      <c r="C194" s="40">
        <v>250</v>
      </c>
      <c r="D194" s="40" t="s">
        <v>136</v>
      </c>
      <c r="E194" s="40" t="s">
        <v>136</v>
      </c>
      <c r="F194" s="40" t="s">
        <v>136</v>
      </c>
      <c r="G194" s="40" t="s">
        <v>136</v>
      </c>
    </row>
    <row r="195" spans="1:7">
      <c r="A195" s="40">
        <f t="shared" ref="A195:A225" si="3">IF(G195="Y",2,1)*IF(OR(D195="Y",E195="Y",F195="Y"),20,IF(B195="Y",5,10))+C195-1</f>
        <v>269</v>
      </c>
      <c r="B195" s="40" t="s">
        <v>136</v>
      </c>
      <c r="C195" s="40">
        <v>250</v>
      </c>
      <c r="D195" s="40" t="s">
        <v>136</v>
      </c>
      <c r="E195" s="40" t="s">
        <v>136</v>
      </c>
      <c r="F195" s="40" t="s">
        <v>136</v>
      </c>
      <c r="G195" s="40" t="s">
        <v>137</v>
      </c>
    </row>
    <row r="196" spans="1:7">
      <c r="A196" s="40">
        <f t="shared" si="3"/>
        <v>269</v>
      </c>
      <c r="B196" s="40" t="s">
        <v>136</v>
      </c>
      <c r="C196" s="40">
        <v>250</v>
      </c>
      <c r="D196" s="40" t="s">
        <v>136</v>
      </c>
      <c r="E196" s="40" t="s">
        <v>136</v>
      </c>
      <c r="F196" s="40" t="s">
        <v>137</v>
      </c>
      <c r="G196" s="40" t="s">
        <v>136</v>
      </c>
    </row>
    <row r="197" spans="1:7">
      <c r="A197" s="40">
        <f t="shared" si="3"/>
        <v>289</v>
      </c>
      <c r="B197" s="40" t="s">
        <v>136</v>
      </c>
      <c r="C197" s="40">
        <v>250</v>
      </c>
      <c r="D197" s="40" t="s">
        <v>136</v>
      </c>
      <c r="E197" s="40" t="s">
        <v>136</v>
      </c>
      <c r="F197" s="40" t="s">
        <v>137</v>
      </c>
      <c r="G197" s="40" t="s">
        <v>137</v>
      </c>
    </row>
    <row r="198" spans="1:7">
      <c r="A198" s="40">
        <f t="shared" si="3"/>
        <v>269</v>
      </c>
      <c r="B198" s="40" t="s">
        <v>136</v>
      </c>
      <c r="C198" s="40">
        <v>250</v>
      </c>
      <c r="D198" s="40" t="s">
        <v>136</v>
      </c>
      <c r="E198" s="40" t="s">
        <v>137</v>
      </c>
      <c r="F198" s="40" t="s">
        <v>136</v>
      </c>
      <c r="G198" s="40" t="s">
        <v>136</v>
      </c>
    </row>
    <row r="199" spans="1:7">
      <c r="A199" s="40">
        <f t="shared" si="3"/>
        <v>289</v>
      </c>
      <c r="B199" s="40" t="s">
        <v>136</v>
      </c>
      <c r="C199" s="40">
        <v>250</v>
      </c>
      <c r="D199" s="40" t="s">
        <v>136</v>
      </c>
      <c r="E199" s="40" t="s">
        <v>137</v>
      </c>
      <c r="F199" s="40" t="s">
        <v>136</v>
      </c>
      <c r="G199" s="40" t="s">
        <v>137</v>
      </c>
    </row>
    <row r="200" spans="1:7">
      <c r="A200" s="40">
        <f t="shared" si="3"/>
        <v>269</v>
      </c>
      <c r="B200" s="40" t="s">
        <v>136</v>
      </c>
      <c r="C200" s="40">
        <v>250</v>
      </c>
      <c r="D200" s="40" t="s">
        <v>136</v>
      </c>
      <c r="E200" s="40" t="s">
        <v>137</v>
      </c>
      <c r="F200" s="40" t="s">
        <v>137</v>
      </c>
      <c r="G200" s="40" t="s">
        <v>136</v>
      </c>
    </row>
    <row r="201" spans="1:7">
      <c r="A201" s="40">
        <f t="shared" si="3"/>
        <v>289</v>
      </c>
      <c r="B201" s="40" t="s">
        <v>136</v>
      </c>
      <c r="C201" s="40">
        <v>250</v>
      </c>
      <c r="D201" s="40" t="s">
        <v>136</v>
      </c>
      <c r="E201" s="40" t="s">
        <v>137</v>
      </c>
      <c r="F201" s="40" t="s">
        <v>137</v>
      </c>
      <c r="G201" s="40" t="s">
        <v>137</v>
      </c>
    </row>
    <row r="202" spans="1:7">
      <c r="A202" s="40">
        <f t="shared" si="3"/>
        <v>269</v>
      </c>
      <c r="B202" s="40" t="s">
        <v>136</v>
      </c>
      <c r="C202" s="40">
        <v>250</v>
      </c>
      <c r="D202" s="40" t="s">
        <v>137</v>
      </c>
      <c r="E202" s="40" t="s">
        <v>136</v>
      </c>
      <c r="F202" s="40" t="s">
        <v>136</v>
      </c>
      <c r="G202" s="40" t="s">
        <v>136</v>
      </c>
    </row>
    <row r="203" spans="1:7">
      <c r="A203" s="40">
        <f t="shared" si="3"/>
        <v>289</v>
      </c>
      <c r="B203" s="40" t="s">
        <v>136</v>
      </c>
      <c r="C203" s="40">
        <v>250</v>
      </c>
      <c r="D203" s="40" t="s">
        <v>137</v>
      </c>
      <c r="E203" s="40" t="s">
        <v>136</v>
      </c>
      <c r="F203" s="40" t="s">
        <v>136</v>
      </c>
      <c r="G203" s="40" t="s">
        <v>137</v>
      </c>
    </row>
    <row r="204" spans="1:7">
      <c r="A204" s="40">
        <f t="shared" si="3"/>
        <v>269</v>
      </c>
      <c r="B204" s="40" t="s">
        <v>136</v>
      </c>
      <c r="C204" s="40">
        <v>250</v>
      </c>
      <c r="D204" s="40" t="s">
        <v>137</v>
      </c>
      <c r="E204" s="40" t="s">
        <v>136</v>
      </c>
      <c r="F204" s="40" t="s">
        <v>137</v>
      </c>
      <c r="G204" s="40" t="s">
        <v>136</v>
      </c>
    </row>
    <row r="205" spans="1:7">
      <c r="A205" s="40">
        <f t="shared" si="3"/>
        <v>289</v>
      </c>
      <c r="B205" s="40" t="s">
        <v>136</v>
      </c>
      <c r="C205" s="40">
        <v>250</v>
      </c>
      <c r="D205" s="40" t="s">
        <v>137</v>
      </c>
      <c r="E205" s="40" t="s">
        <v>136</v>
      </c>
      <c r="F205" s="40" t="s">
        <v>137</v>
      </c>
      <c r="G205" s="40" t="s">
        <v>137</v>
      </c>
    </row>
    <row r="206" spans="1:7">
      <c r="A206" s="40">
        <f t="shared" si="3"/>
        <v>269</v>
      </c>
      <c r="B206" s="40" t="s">
        <v>136</v>
      </c>
      <c r="C206" s="40">
        <v>250</v>
      </c>
      <c r="D206" s="40" t="s">
        <v>137</v>
      </c>
      <c r="E206" s="40" t="s">
        <v>137</v>
      </c>
      <c r="F206" s="40" t="s">
        <v>136</v>
      </c>
      <c r="G206" s="40" t="s">
        <v>136</v>
      </c>
    </row>
    <row r="207" spans="1:7">
      <c r="A207" s="40">
        <f t="shared" si="3"/>
        <v>289</v>
      </c>
      <c r="B207" s="40" t="s">
        <v>136</v>
      </c>
      <c r="C207" s="40">
        <v>250</v>
      </c>
      <c r="D207" s="40" t="s">
        <v>137</v>
      </c>
      <c r="E207" s="40" t="s">
        <v>137</v>
      </c>
      <c r="F207" s="40" t="s">
        <v>136</v>
      </c>
      <c r="G207" s="40" t="s">
        <v>137</v>
      </c>
    </row>
    <row r="208" spans="1:7">
      <c r="A208" s="40">
        <f t="shared" si="3"/>
        <v>269</v>
      </c>
      <c r="B208" s="40" t="s">
        <v>136</v>
      </c>
      <c r="C208" s="40">
        <v>250</v>
      </c>
      <c r="D208" s="40" t="s">
        <v>137</v>
      </c>
      <c r="E208" s="40" t="s">
        <v>137</v>
      </c>
      <c r="F208" s="40" t="s">
        <v>137</v>
      </c>
      <c r="G208" s="40" t="s">
        <v>136</v>
      </c>
    </row>
    <row r="209" spans="1:7">
      <c r="A209" s="40">
        <f t="shared" si="3"/>
        <v>289</v>
      </c>
      <c r="B209" s="40" t="s">
        <v>136</v>
      </c>
      <c r="C209" s="40">
        <v>250</v>
      </c>
      <c r="D209" s="40" t="s">
        <v>137</v>
      </c>
      <c r="E209" s="40" t="s">
        <v>137</v>
      </c>
      <c r="F209" s="40" t="s">
        <v>137</v>
      </c>
      <c r="G209" s="40" t="s">
        <v>137</v>
      </c>
    </row>
    <row r="210" spans="1:7">
      <c r="A210" s="40">
        <f t="shared" si="3"/>
        <v>254</v>
      </c>
      <c r="B210" s="40" t="s">
        <v>137</v>
      </c>
      <c r="C210" s="40">
        <v>250</v>
      </c>
      <c r="D210" s="40" t="s">
        <v>136</v>
      </c>
      <c r="E210" s="40" t="s">
        <v>136</v>
      </c>
      <c r="F210" s="40" t="s">
        <v>136</v>
      </c>
      <c r="G210" s="40" t="s">
        <v>136</v>
      </c>
    </row>
    <row r="211" spans="1:7">
      <c r="A211" s="40">
        <f t="shared" si="3"/>
        <v>259</v>
      </c>
      <c r="B211" s="40" t="s">
        <v>137</v>
      </c>
      <c r="C211" s="40">
        <v>250</v>
      </c>
      <c r="D211" s="40" t="s">
        <v>136</v>
      </c>
      <c r="E211" s="40" t="s">
        <v>136</v>
      </c>
      <c r="F211" s="40" t="s">
        <v>136</v>
      </c>
      <c r="G211" s="40" t="s">
        <v>137</v>
      </c>
    </row>
    <row r="212" spans="1:7">
      <c r="A212" s="40">
        <f t="shared" si="3"/>
        <v>269</v>
      </c>
      <c r="B212" s="40" t="s">
        <v>137</v>
      </c>
      <c r="C212" s="40">
        <v>250</v>
      </c>
      <c r="D212" s="40" t="s">
        <v>136</v>
      </c>
      <c r="E212" s="40" t="s">
        <v>136</v>
      </c>
      <c r="F212" s="40" t="s">
        <v>137</v>
      </c>
      <c r="G212" s="40" t="s">
        <v>136</v>
      </c>
    </row>
    <row r="213" spans="1:7">
      <c r="A213" s="40">
        <f t="shared" si="3"/>
        <v>289</v>
      </c>
      <c r="B213" s="40" t="s">
        <v>137</v>
      </c>
      <c r="C213" s="40">
        <v>250</v>
      </c>
      <c r="D213" s="40" t="s">
        <v>136</v>
      </c>
      <c r="E213" s="40" t="s">
        <v>136</v>
      </c>
      <c r="F213" s="40" t="s">
        <v>137</v>
      </c>
      <c r="G213" s="40" t="s">
        <v>137</v>
      </c>
    </row>
    <row r="214" spans="1:7">
      <c r="A214" s="40">
        <f t="shared" si="3"/>
        <v>269</v>
      </c>
      <c r="B214" s="40" t="s">
        <v>137</v>
      </c>
      <c r="C214" s="40">
        <v>250</v>
      </c>
      <c r="D214" s="40" t="s">
        <v>136</v>
      </c>
      <c r="E214" s="40" t="s">
        <v>137</v>
      </c>
      <c r="F214" s="40" t="s">
        <v>136</v>
      </c>
      <c r="G214" s="40" t="s">
        <v>136</v>
      </c>
    </row>
    <row r="215" spans="1:7">
      <c r="A215" s="40">
        <f t="shared" si="3"/>
        <v>289</v>
      </c>
      <c r="B215" s="40" t="s">
        <v>137</v>
      </c>
      <c r="C215" s="40">
        <v>250</v>
      </c>
      <c r="D215" s="40" t="s">
        <v>136</v>
      </c>
      <c r="E215" s="40" t="s">
        <v>137</v>
      </c>
      <c r="F215" s="40" t="s">
        <v>136</v>
      </c>
      <c r="G215" s="40" t="s">
        <v>137</v>
      </c>
    </row>
    <row r="216" spans="1:7">
      <c r="A216" s="40">
        <f t="shared" si="3"/>
        <v>269</v>
      </c>
      <c r="B216" s="40" t="s">
        <v>137</v>
      </c>
      <c r="C216" s="40">
        <v>250</v>
      </c>
      <c r="D216" s="40" t="s">
        <v>136</v>
      </c>
      <c r="E216" s="40" t="s">
        <v>137</v>
      </c>
      <c r="F216" s="40" t="s">
        <v>137</v>
      </c>
      <c r="G216" s="40" t="s">
        <v>136</v>
      </c>
    </row>
    <row r="217" spans="1:7">
      <c r="A217" s="40">
        <f t="shared" si="3"/>
        <v>289</v>
      </c>
      <c r="B217" s="40" t="s">
        <v>137</v>
      </c>
      <c r="C217" s="40">
        <v>250</v>
      </c>
      <c r="D217" s="40" t="s">
        <v>136</v>
      </c>
      <c r="E217" s="40" t="s">
        <v>137</v>
      </c>
      <c r="F217" s="40" t="s">
        <v>137</v>
      </c>
      <c r="G217" s="40" t="s">
        <v>137</v>
      </c>
    </row>
    <row r="218" spans="1:7">
      <c r="A218" s="40">
        <f t="shared" si="3"/>
        <v>269</v>
      </c>
      <c r="B218" s="40" t="s">
        <v>137</v>
      </c>
      <c r="C218" s="40">
        <v>250</v>
      </c>
      <c r="D218" s="40" t="s">
        <v>137</v>
      </c>
      <c r="E218" s="40" t="s">
        <v>136</v>
      </c>
      <c r="F218" s="40" t="s">
        <v>136</v>
      </c>
      <c r="G218" s="40" t="s">
        <v>136</v>
      </c>
    </row>
    <row r="219" spans="1:7">
      <c r="A219" s="40">
        <f t="shared" si="3"/>
        <v>289</v>
      </c>
      <c r="B219" s="40" t="s">
        <v>137</v>
      </c>
      <c r="C219" s="40">
        <v>250</v>
      </c>
      <c r="D219" s="40" t="s">
        <v>137</v>
      </c>
      <c r="E219" s="40" t="s">
        <v>136</v>
      </c>
      <c r="F219" s="40" t="s">
        <v>136</v>
      </c>
      <c r="G219" s="40" t="s">
        <v>137</v>
      </c>
    </row>
    <row r="220" spans="1:7">
      <c r="A220" s="40">
        <f t="shared" si="3"/>
        <v>269</v>
      </c>
      <c r="B220" s="40" t="s">
        <v>137</v>
      </c>
      <c r="C220" s="40">
        <v>250</v>
      </c>
      <c r="D220" s="40" t="s">
        <v>137</v>
      </c>
      <c r="E220" s="40" t="s">
        <v>136</v>
      </c>
      <c r="F220" s="40" t="s">
        <v>137</v>
      </c>
      <c r="G220" s="40" t="s">
        <v>136</v>
      </c>
    </row>
    <row r="221" spans="1:7">
      <c r="A221" s="40">
        <f t="shared" si="3"/>
        <v>289</v>
      </c>
      <c r="B221" s="40" t="s">
        <v>137</v>
      </c>
      <c r="C221" s="40">
        <v>250</v>
      </c>
      <c r="D221" s="40" t="s">
        <v>137</v>
      </c>
      <c r="E221" s="40" t="s">
        <v>136</v>
      </c>
      <c r="F221" s="40" t="s">
        <v>137</v>
      </c>
      <c r="G221" s="40" t="s">
        <v>137</v>
      </c>
    </row>
    <row r="222" spans="1:7">
      <c r="A222" s="40">
        <f t="shared" si="3"/>
        <v>269</v>
      </c>
      <c r="B222" s="40" t="s">
        <v>137</v>
      </c>
      <c r="C222" s="40">
        <v>250</v>
      </c>
      <c r="D222" s="40" t="s">
        <v>137</v>
      </c>
      <c r="E222" s="40" t="s">
        <v>137</v>
      </c>
      <c r="F222" s="40" t="s">
        <v>136</v>
      </c>
      <c r="G222" s="40" t="s">
        <v>136</v>
      </c>
    </row>
    <row r="223" spans="1:7">
      <c r="A223" s="40">
        <f t="shared" si="3"/>
        <v>289</v>
      </c>
      <c r="B223" s="40" t="s">
        <v>137</v>
      </c>
      <c r="C223" s="40">
        <v>250</v>
      </c>
      <c r="D223" s="40" t="s">
        <v>137</v>
      </c>
      <c r="E223" s="40" t="s">
        <v>137</v>
      </c>
      <c r="F223" s="40" t="s">
        <v>136</v>
      </c>
      <c r="G223" s="40" t="s">
        <v>137</v>
      </c>
    </row>
    <row r="224" spans="1:7">
      <c r="A224" s="40">
        <f t="shared" si="3"/>
        <v>269</v>
      </c>
      <c r="B224" s="40" t="s">
        <v>137</v>
      </c>
      <c r="C224" s="40">
        <v>250</v>
      </c>
      <c r="D224" s="40" t="s">
        <v>137</v>
      </c>
      <c r="E224" s="40" t="s">
        <v>137</v>
      </c>
      <c r="F224" s="40" t="s">
        <v>137</v>
      </c>
      <c r="G224" s="40" t="s">
        <v>136</v>
      </c>
    </row>
    <row r="225" spans="1:7">
      <c r="A225" s="40">
        <f t="shared" si="3"/>
        <v>289</v>
      </c>
      <c r="B225" s="40" t="s">
        <v>137</v>
      </c>
      <c r="C225" s="40">
        <v>250</v>
      </c>
      <c r="D225" s="40" t="s">
        <v>137</v>
      </c>
      <c r="E225" s="40" t="s">
        <v>137</v>
      </c>
      <c r="F225" s="40" t="s">
        <v>137</v>
      </c>
      <c r="G225" s="40" t="s">
        <v>137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FE310-BBBB-4562-AB3F-4FEC452DCABE}">
  <dimension ref="A1:H32"/>
  <sheetViews>
    <sheetView workbookViewId="0">
      <selection activeCell="H11" sqref="H11"/>
    </sheetView>
  </sheetViews>
  <sheetFormatPr defaultRowHeight="15.5"/>
  <cols>
    <col min="1" max="1" width="27.75" bestFit="1" customWidth="1"/>
    <col min="2" max="2" width="11.4140625" bestFit="1" customWidth="1"/>
    <col min="3" max="3" width="16.25" bestFit="1" customWidth="1"/>
    <col min="4" max="4" width="13.33203125" bestFit="1" customWidth="1"/>
    <col min="5" max="5" width="12.58203125" bestFit="1" customWidth="1"/>
    <col min="6" max="6" width="8.5" bestFit="1" customWidth="1"/>
    <col min="7" max="7" width="14.08203125" bestFit="1" customWidth="1"/>
    <col min="8" max="8" width="12.75" bestFit="1" customWidth="1"/>
    <col min="9" max="9" width="14.08203125" bestFit="1" customWidth="1"/>
    <col min="10" max="10" width="6.25" bestFit="1" customWidth="1"/>
    <col min="11" max="11" width="9.75" bestFit="1" customWidth="1"/>
    <col min="12" max="12" width="9" bestFit="1" customWidth="1"/>
    <col min="13" max="13" width="8.5" bestFit="1" customWidth="1"/>
    <col min="14" max="14" width="8.83203125" bestFit="1" customWidth="1"/>
    <col min="15" max="15" width="7.83203125" bestFit="1" customWidth="1"/>
    <col min="16" max="16" width="15.58203125" bestFit="1" customWidth="1"/>
    <col min="17" max="17" width="11.08203125" bestFit="1" customWidth="1"/>
    <col min="18" max="18" width="15.5" bestFit="1" customWidth="1"/>
    <col min="19" max="19" width="15.25" bestFit="1" customWidth="1"/>
    <col min="20" max="20" width="16.83203125" bestFit="1" customWidth="1"/>
    <col min="21" max="21" width="17.25" bestFit="1" customWidth="1"/>
    <col min="22" max="22" width="16.5" bestFit="1" customWidth="1"/>
    <col min="23" max="23" width="13" bestFit="1" customWidth="1"/>
    <col min="24" max="24" width="9.33203125" bestFit="1" customWidth="1"/>
    <col min="25" max="25" width="16.25" bestFit="1" customWidth="1"/>
    <col min="26" max="26" width="12.33203125" bestFit="1" customWidth="1"/>
    <col min="27" max="27" width="13" bestFit="1" customWidth="1"/>
    <col min="28" max="28" width="18.5" bestFit="1" customWidth="1"/>
    <col min="29" max="29" width="16.75" bestFit="1" customWidth="1"/>
    <col min="30" max="30" width="27.75" bestFit="1" customWidth="1"/>
    <col min="31" max="31" width="20.83203125" bestFit="1" customWidth="1"/>
    <col min="32" max="32" width="13.08203125" bestFit="1" customWidth="1"/>
  </cols>
  <sheetData>
    <row r="1" spans="1:8">
      <c r="A1" s="41" t="s">
        <v>3</v>
      </c>
      <c r="B1" s="33" t="s">
        <v>57</v>
      </c>
      <c r="D1" s="48" t="s">
        <v>145</v>
      </c>
      <c r="E1" s="48"/>
      <c r="G1" s="48" t="s">
        <v>150</v>
      </c>
      <c r="H1" s="48"/>
    </row>
    <row r="2" spans="1:8">
      <c r="A2" s="41" t="s">
        <v>5</v>
      </c>
      <c r="B2" s="33" t="s">
        <v>126</v>
      </c>
      <c r="G2" s="47" t="s">
        <v>146</v>
      </c>
      <c r="H2">
        <f>-_xlfn.NORM.S.DIST((LN(B16/B17)+(parameters!D10)^2*'MNA006'!B18/250)/(SQRT(250/250)*'MNA006'!B18),TRUE)</f>
        <v>-0.50089761937353683</v>
      </c>
    </row>
    <row r="3" spans="1:8">
      <c r="A3" s="41" t="s">
        <v>9</v>
      </c>
      <c r="B3" s="33" t="s">
        <v>84</v>
      </c>
      <c r="D3" s="37" t="s">
        <v>140</v>
      </c>
      <c r="E3" s="44">
        <f>1.5*SQRT(B10/250)</f>
        <v>0.30000000000000004</v>
      </c>
      <c r="G3" s="47" t="s">
        <v>140</v>
      </c>
      <c r="H3">
        <f>1.5*SQRT(B10/250)</f>
        <v>0.30000000000000004</v>
      </c>
    </row>
    <row r="4" spans="1:8">
      <c r="A4" s="41" t="s">
        <v>12</v>
      </c>
      <c r="B4" s="33" t="s">
        <v>60</v>
      </c>
      <c r="D4" s="37" t="s">
        <v>139</v>
      </c>
      <c r="E4" s="43">
        <f>B9*B26*parameters!F10*E3</f>
        <v>-925050.24000000022</v>
      </c>
      <c r="G4" s="47" t="s">
        <v>139</v>
      </c>
      <c r="H4" s="43">
        <f>B9*H2*parameters!F10*E3</f>
        <v>-154451.82100563965</v>
      </c>
    </row>
    <row r="5" spans="1:8">
      <c r="A5" s="41" t="s">
        <v>14</v>
      </c>
      <c r="B5" s="33" t="s">
        <v>82</v>
      </c>
      <c r="D5" s="37" t="s">
        <v>141</v>
      </c>
      <c r="E5" s="43">
        <f>ABS(E4)</f>
        <v>925050.24000000022</v>
      </c>
      <c r="G5" s="47" t="s">
        <v>141</v>
      </c>
      <c r="H5" s="43">
        <f>ABS(H4)</f>
        <v>154451.82100563965</v>
      </c>
    </row>
    <row r="6" spans="1:8">
      <c r="A6" s="41" t="s">
        <v>17</v>
      </c>
      <c r="B6" s="33" t="s">
        <v>62</v>
      </c>
      <c r="D6" s="37" t="s">
        <v>143</v>
      </c>
      <c r="E6" s="43">
        <f>B8</f>
        <v>-459120</v>
      </c>
      <c r="G6" s="47" t="s">
        <v>143</v>
      </c>
      <c r="H6" s="46">
        <f>E6</f>
        <v>-459120</v>
      </c>
    </row>
    <row r="7" spans="1:8">
      <c r="A7" s="41" t="s">
        <v>21</v>
      </c>
      <c r="B7" s="33" t="s">
        <v>62</v>
      </c>
      <c r="D7" s="37" t="s">
        <v>144</v>
      </c>
      <c r="E7" s="43">
        <f>csa_inputs!D7+csa_inputs!E7</f>
        <v>1076500</v>
      </c>
      <c r="G7" s="47" t="s">
        <v>144</v>
      </c>
      <c r="H7" s="46">
        <f>E7</f>
        <v>1076500</v>
      </c>
    </row>
    <row r="8" spans="1:8">
      <c r="A8" s="41" t="s">
        <v>25</v>
      </c>
      <c r="B8" s="33">
        <v>-459120</v>
      </c>
      <c r="D8" s="37" t="s">
        <v>142</v>
      </c>
      <c r="E8" s="45">
        <f>MIN(1,5%+95%*EXP((E6-E7)/1.9*E5))</f>
        <v>0.05</v>
      </c>
      <c r="G8" s="47" t="s">
        <v>142</v>
      </c>
      <c r="H8" s="45">
        <f>MIN(1,5%+95%*EXP((H6-H7)/1.9*H5))</f>
        <v>0.05</v>
      </c>
    </row>
    <row r="9" spans="1:8">
      <c r="A9" s="41" t="s">
        <v>27</v>
      </c>
      <c r="B9" s="33">
        <v>5139168</v>
      </c>
      <c r="D9" s="37" t="s">
        <v>147</v>
      </c>
      <c r="E9" s="46">
        <f>E8*E5</f>
        <v>46252.512000000017</v>
      </c>
      <c r="G9" s="47" t="s">
        <v>147</v>
      </c>
      <c r="H9" s="43">
        <f>H8*H5</f>
        <v>7722.5910502819825</v>
      </c>
    </row>
    <row r="10" spans="1:8">
      <c r="A10" s="41" t="s">
        <v>29</v>
      </c>
      <c r="B10" s="33">
        <v>10</v>
      </c>
      <c r="D10" s="37" t="s">
        <v>148</v>
      </c>
      <c r="E10" s="43">
        <f>csa_inputs!D7+csa_inputs!E7</f>
        <v>1076500</v>
      </c>
      <c r="G10" s="47" t="s">
        <v>148</v>
      </c>
      <c r="H10" s="46">
        <f>E10</f>
        <v>1076500</v>
      </c>
    </row>
    <row r="11" spans="1:8">
      <c r="A11" s="41" t="s">
        <v>31</v>
      </c>
      <c r="B11" s="33">
        <v>0</v>
      </c>
      <c r="D11" s="37" t="s">
        <v>149</v>
      </c>
      <c r="E11" s="43">
        <f>1.4*SUM(E9:E10)</f>
        <v>1571853.5168000001</v>
      </c>
      <c r="G11" s="47" t="s">
        <v>149</v>
      </c>
      <c r="H11" s="43">
        <f>SUM(H9:H10)*1.4</f>
        <v>1517911.6274703946</v>
      </c>
    </row>
    <row r="12" spans="1:8">
      <c r="A12" s="41" t="s">
        <v>33</v>
      </c>
      <c r="B12" s="33">
        <v>250</v>
      </c>
    </row>
    <row r="13" spans="1:8">
      <c r="A13" s="41" t="s">
        <v>35</v>
      </c>
      <c r="B13" s="33">
        <v>250</v>
      </c>
    </row>
    <row r="14" spans="1:8">
      <c r="A14" s="41" t="s">
        <v>37</v>
      </c>
      <c r="B14" s="33" t="b">
        <v>1</v>
      </c>
    </row>
    <row r="15" spans="1:8">
      <c r="A15" s="41" t="s">
        <v>39</v>
      </c>
      <c r="B15" s="33" t="s">
        <v>74</v>
      </c>
    </row>
    <row r="16" spans="1:8">
      <c r="A16" s="41" t="s">
        <v>41</v>
      </c>
      <c r="B16" s="33">
        <v>4282.6400000000003</v>
      </c>
    </row>
    <row r="17" spans="1:2">
      <c r="A17" s="41" t="s">
        <v>43</v>
      </c>
      <c r="B17" s="33">
        <v>4282.6400000000003</v>
      </c>
    </row>
    <row r="18" spans="1:2">
      <c r="A18" s="41" t="s">
        <v>45</v>
      </c>
      <c r="B18" s="33">
        <v>250</v>
      </c>
    </row>
    <row r="19" spans="1:2">
      <c r="A19" s="41" t="s">
        <v>47</v>
      </c>
      <c r="B19" s="33" t="b">
        <v>0</v>
      </c>
    </row>
    <row r="20" spans="1:2">
      <c r="A20" s="41" t="s">
        <v>49</v>
      </c>
      <c r="B20" s="33"/>
    </row>
    <row r="21" spans="1:2">
      <c r="A21" s="41" t="s">
        <v>51</v>
      </c>
      <c r="B21" s="33"/>
    </row>
    <row r="22" spans="1:2">
      <c r="A22" s="41" t="s">
        <v>53</v>
      </c>
      <c r="B22" s="33" t="b">
        <v>0</v>
      </c>
    </row>
    <row r="23" spans="1:2">
      <c r="A23" s="41" t="s">
        <v>55</v>
      </c>
      <c r="B23" s="33" t="b">
        <v>0</v>
      </c>
    </row>
    <row r="24" spans="1:2">
      <c r="A24" s="41" t="s">
        <v>122</v>
      </c>
      <c r="B24" s="31">
        <v>45838</v>
      </c>
    </row>
    <row r="25" spans="1:2">
      <c r="A25" s="41" t="s">
        <v>123</v>
      </c>
      <c r="B25" s="31">
        <f>B24+B12</f>
        <v>46088</v>
      </c>
    </row>
    <row r="26" spans="1:2">
      <c r="A26" s="41" t="s">
        <v>125</v>
      </c>
      <c r="B26" s="34">
        <v>-3</v>
      </c>
    </row>
    <row r="27" spans="1:2">
      <c r="A27" s="42" t="s">
        <v>130</v>
      </c>
      <c r="B27" s="13" t="s">
        <v>136</v>
      </c>
    </row>
    <row r="28" spans="1:2">
      <c r="A28" s="42" t="s">
        <v>131</v>
      </c>
      <c r="B28" s="13">
        <v>1</v>
      </c>
    </row>
    <row r="29" spans="1:2">
      <c r="A29" s="42" t="s">
        <v>132</v>
      </c>
      <c r="B29" s="13" t="s">
        <v>136</v>
      </c>
    </row>
    <row r="30" spans="1:2">
      <c r="A30" s="42" t="s">
        <v>133</v>
      </c>
      <c r="B30" s="13" t="s">
        <v>136</v>
      </c>
    </row>
    <row r="31" spans="1:2">
      <c r="A31" s="42" t="s">
        <v>134</v>
      </c>
      <c r="B31" s="13" t="s">
        <v>136</v>
      </c>
    </row>
    <row r="32" spans="1:2">
      <c r="A32" s="42" t="s">
        <v>135</v>
      </c>
      <c r="B32" s="13" t="s">
        <v>136</v>
      </c>
    </row>
  </sheetData>
  <mergeCells count="2">
    <mergeCell ref="D1:E1"/>
    <mergeCell ref="G1:H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trades_inputs</vt:lpstr>
      <vt:lpstr>csa_inputs</vt:lpstr>
      <vt:lpstr>parameters</vt:lpstr>
      <vt:lpstr>MPOR matrix</vt:lpstr>
      <vt:lpstr>MNA006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Guanzhuo Qiao</dc:creator>
  <cp:keywords/>
  <dc:description/>
  <cp:lastModifiedBy>Zihan Liu</cp:lastModifiedBy>
  <cp:revision/>
  <dcterms:created xsi:type="dcterms:W3CDTF">2023-09-22T14:25:12Z</dcterms:created>
  <dcterms:modified xsi:type="dcterms:W3CDTF">2026-01-27T03:28:19Z</dcterms:modified>
  <cp:category/>
  <cp:contentStatus/>
</cp:coreProperties>
</file>