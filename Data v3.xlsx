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M675MX\Downloads\"/>
    </mc:Choice>
  </mc:AlternateContent>
  <xr:revisionPtr revIDLastSave="0" documentId="8_{DD284D59-439A-4819-95C6-72462BA7F32B}" xr6:coauthVersionLast="47" xr6:coauthVersionMax="47" xr10:uidLastSave="{00000000-0000-0000-0000-000000000000}"/>
  <bookViews>
    <workbookView xWindow="-28920" yWindow="960" windowWidth="29040" windowHeight="15720" xr2:uid="{43B1DDD3-62A0-4D36-B06F-A84F66130CB3}"/>
  </bookViews>
  <sheets>
    <sheet name="data_1" sheetId="1" r:id="rId1"/>
    <sheet name="data_2" sheetId="2" r:id="rId2"/>
  </sheets>
  <definedNames>
    <definedName name="_xlnm._FilterDatabase" localSheetId="0" hidden="1">data_1!$A$1:$BT$45</definedName>
    <definedName name="_xlnm._FilterDatabase" localSheetId="1" hidden="1">data_2!$A$1:$BT$45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8" i="2" l="1" a="1"/>
  <c r="BA18" i="2" s="1"/>
  <c r="BG45" i="2"/>
  <c r="BC45" i="2"/>
  <c r="BA45" i="2" a="1"/>
  <c r="BA45" i="2" s="1"/>
  <c r="BG44" i="2"/>
  <c r="BC44" i="2"/>
  <c r="BA44" i="2" a="1"/>
  <c r="BA44" i="2" s="1"/>
  <c r="BG43" i="2"/>
  <c r="BC43" i="2"/>
  <c r="BA43" i="2" a="1"/>
  <c r="BA43" i="2" s="1"/>
  <c r="BG42" i="2"/>
  <c r="BD42" i="2"/>
  <c r="BC42" i="2"/>
  <c r="BA42" i="2" a="1"/>
  <c r="BA42" i="2" s="1"/>
  <c r="BG41" i="2"/>
  <c r="BC41" i="2"/>
  <c r="BA41" i="2" a="1"/>
  <c r="BA41" i="2" s="1"/>
  <c r="BG40" i="2"/>
  <c r="BC40" i="2"/>
  <c r="BA40" i="2" a="1"/>
  <c r="BA40" i="2" s="1"/>
  <c r="BG39" i="2"/>
  <c r="BC39" i="2"/>
  <c r="BA39" i="2" a="1"/>
  <c r="BA39" i="2" s="1"/>
  <c r="BG38" i="2"/>
  <c r="BC38" i="2"/>
  <c r="BA38" i="2" a="1"/>
  <c r="BA38" i="2" s="1"/>
  <c r="BG37" i="2"/>
  <c r="BC37" i="2"/>
  <c r="BA37" i="2" a="1"/>
  <c r="BA37" i="2" s="1"/>
  <c r="BG36" i="2"/>
  <c r="BC36" i="2"/>
  <c r="BA36" i="2" a="1"/>
  <c r="BA36" i="2" s="1"/>
  <c r="BG35" i="2"/>
  <c r="BC35" i="2"/>
  <c r="BA35" i="2" a="1"/>
  <c r="BA35" i="2" s="1"/>
  <c r="BG34" i="2"/>
  <c r="BC34" i="2"/>
  <c r="BA34" i="2" a="1"/>
  <c r="BA34" i="2" s="1"/>
  <c r="BG33" i="2"/>
  <c r="BC33" i="2"/>
  <c r="BA33" i="2" a="1"/>
  <c r="BA33" i="2" s="1"/>
  <c r="BG32" i="2"/>
  <c r="BC32" i="2"/>
  <c r="BA32" i="2" a="1"/>
  <c r="BA32" i="2" s="1"/>
  <c r="BG31" i="2"/>
  <c r="BC31" i="2"/>
  <c r="BA31" i="2" a="1"/>
  <c r="BA31" i="2" s="1"/>
  <c r="BG30" i="2"/>
  <c r="BC30" i="2"/>
  <c r="BA30" i="2" a="1"/>
  <c r="BA30" i="2" s="1"/>
  <c r="BG29" i="2"/>
  <c r="BC29" i="2"/>
  <c r="BA29" i="2" a="1"/>
  <c r="BA29" i="2" s="1"/>
  <c r="BG28" i="2"/>
  <c r="BC28" i="2"/>
  <c r="BA28" i="2" a="1"/>
  <c r="BA28" i="2" s="1"/>
  <c r="BG27" i="2"/>
  <c r="BC27" i="2"/>
  <c r="BA27" i="2" a="1"/>
  <c r="BA27" i="2" s="1"/>
  <c r="BG26" i="2"/>
  <c r="BC26" i="2"/>
  <c r="BA26" i="2" a="1"/>
  <c r="BA26" i="2" s="1"/>
  <c r="BG25" i="2"/>
  <c r="BC25" i="2"/>
  <c r="BA25" i="2" a="1"/>
  <c r="BA25" i="2" s="1"/>
  <c r="BG24" i="2"/>
  <c r="BC24" i="2"/>
  <c r="BA24" i="2" a="1"/>
  <c r="BA24" i="2" s="1"/>
  <c r="BG23" i="2"/>
  <c r="BC23" i="2"/>
  <c r="BA23" i="2" a="1"/>
  <c r="BA23" i="2" s="1"/>
  <c r="BG22" i="2"/>
  <c r="BC22" i="2"/>
  <c r="BA22" i="2" a="1"/>
  <c r="BA22" i="2" s="1"/>
  <c r="BG21" i="2"/>
  <c r="BC21" i="2"/>
  <c r="BA21" i="2" a="1"/>
  <c r="BA21" i="2" s="1"/>
  <c r="BG20" i="2"/>
  <c r="BC20" i="2"/>
  <c r="BA20" i="2" a="1"/>
  <c r="BA20" i="2" s="1"/>
  <c r="BG19" i="2"/>
  <c r="BC19" i="2"/>
  <c r="BA19" i="2" a="1"/>
  <c r="BA19" i="2" s="1"/>
  <c r="BG18" i="2"/>
  <c r="BC18" i="2"/>
  <c r="BG17" i="2"/>
  <c r="BC17" i="2"/>
  <c r="BA17" i="2" a="1"/>
  <c r="BA17" i="2" s="1"/>
  <c r="BG16" i="2"/>
  <c r="BC16" i="2"/>
  <c r="BA16" i="2" a="1"/>
  <c r="BA16" i="2" s="1"/>
  <c r="BG15" i="2"/>
  <c r="BC15" i="2"/>
  <c r="BA15" i="2" a="1"/>
  <c r="BA15" i="2" s="1"/>
  <c r="BG14" i="2"/>
  <c r="BC14" i="2"/>
  <c r="BA14" i="2" a="1"/>
  <c r="BA14" i="2" s="1"/>
  <c r="BG13" i="2"/>
  <c r="BC13" i="2"/>
  <c r="BA13" i="2" a="1"/>
  <c r="BA13" i="2" s="1"/>
  <c r="BG12" i="2"/>
  <c r="BC12" i="2"/>
  <c r="BA12" i="2" a="1"/>
  <c r="BA12" i="2" s="1"/>
  <c r="BG11" i="2"/>
  <c r="BC11" i="2"/>
  <c r="BA11" i="2" a="1"/>
  <c r="BA11" i="2" s="1"/>
  <c r="BG10" i="2"/>
  <c r="BC10" i="2"/>
  <c r="BA10" i="2" a="1"/>
  <c r="BA10" i="2" s="1"/>
  <c r="BG9" i="2"/>
  <c r="BC9" i="2"/>
  <c r="BA9" i="2" a="1"/>
  <c r="BA9" i="2" s="1"/>
  <c r="BG8" i="2"/>
  <c r="BC8" i="2"/>
  <c r="BA8" i="2" a="1"/>
  <c r="BA8" i="2" s="1"/>
  <c r="BG7" i="2"/>
  <c r="BC7" i="2"/>
  <c r="BA7" i="2" a="1"/>
  <c r="BA7" i="2" s="1"/>
  <c r="BG6" i="2"/>
  <c r="BC6" i="2"/>
  <c r="BA6" i="2" a="1"/>
  <c r="BA6" i="2" s="1"/>
  <c r="BG5" i="2"/>
  <c r="BC5" i="2"/>
  <c r="BA5" i="2" a="1"/>
  <c r="BA5" i="2" s="1"/>
  <c r="BG4" i="2"/>
  <c r="BC4" i="2"/>
  <c r="BA4" i="2" a="1"/>
  <c r="BA4" i="2" s="1"/>
  <c r="BG3" i="2"/>
  <c r="BC3" i="2"/>
  <c r="BA3" i="2" a="1"/>
  <c r="BA3" i="2" s="1"/>
  <c r="BG2" i="2"/>
  <c r="BC2" i="2"/>
  <c r="BA2" i="2" a="1"/>
  <c r="BA2" i="2" s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2" i="1"/>
  <c r="BA2" i="1" a="1"/>
  <c r="BA2" i="1" s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D37" i="1" s="1"/>
  <c r="BC37" i="1"/>
  <c r="BC38" i="1"/>
  <c r="BC39" i="1"/>
  <c r="BC40" i="1"/>
  <c r="BC41" i="1"/>
  <c r="BC42" i="1"/>
  <c r="BC43" i="1"/>
  <c r="BC44" i="1"/>
  <c r="BC45" i="1"/>
  <c r="BC20" i="1"/>
  <c r="BC2" i="1"/>
  <c r="BC17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8" i="1"/>
  <c r="BC19" i="1"/>
  <c r="BA3" i="1" a="1"/>
  <c r="BA3" i="1" s="1"/>
  <c r="BA4" i="1" a="1"/>
  <c r="BA4" i="1" s="1"/>
  <c r="BA5" i="1" a="1"/>
  <c r="BA5" i="1" s="1"/>
  <c r="BA6" i="1" a="1"/>
  <c r="BA6" i="1" s="1"/>
  <c r="BA7" i="1" a="1"/>
  <c r="BA7" i="1" s="1"/>
  <c r="BA8" i="1" a="1"/>
  <c r="BA8" i="1" s="1"/>
  <c r="BA9" i="1" a="1"/>
  <c r="BA9" i="1" s="1"/>
  <c r="BA10" i="1" a="1"/>
  <c r="BA10" i="1" s="1"/>
  <c r="BA11" i="1" a="1"/>
  <c r="BA11" i="1" s="1"/>
  <c r="BA12" i="1" a="1"/>
  <c r="BA12" i="1" s="1"/>
  <c r="BA13" i="1" a="1"/>
  <c r="BA13" i="1" s="1"/>
  <c r="BA14" i="1" a="1"/>
  <c r="BA14" i="1" s="1"/>
  <c r="BA15" i="1" a="1"/>
  <c r="BA15" i="1" s="1"/>
  <c r="BA16" i="1" a="1"/>
  <c r="BA16" i="1" s="1"/>
  <c r="BA17" i="1" a="1"/>
  <c r="BA17" i="1" s="1"/>
  <c r="BA18" i="1" a="1"/>
  <c r="BA18" i="1" s="1"/>
  <c r="BA19" i="1" a="1"/>
  <c r="BA19" i="1" s="1"/>
  <c r="BA20" i="1" a="1"/>
  <c r="BA20" i="1" s="1"/>
  <c r="BA21" i="1" a="1"/>
  <c r="BA21" i="1" s="1"/>
  <c r="BA22" i="1" a="1"/>
  <c r="BA22" i="1" s="1"/>
  <c r="BA23" i="1" a="1"/>
  <c r="BA23" i="1" s="1"/>
  <c r="BA24" i="1" a="1"/>
  <c r="BA24" i="1" s="1"/>
  <c r="BA25" i="1" a="1"/>
  <c r="BA25" i="1" s="1"/>
  <c r="BA26" i="1" a="1"/>
  <c r="BA26" i="1" s="1"/>
  <c r="BA27" i="1" a="1"/>
  <c r="BA27" i="1" s="1"/>
  <c r="BA28" i="1" a="1"/>
  <c r="BA28" i="1" s="1"/>
  <c r="BA29" i="1" a="1"/>
  <c r="BA29" i="1" s="1"/>
  <c r="BA30" i="1" a="1"/>
  <c r="BA30" i="1" s="1"/>
  <c r="BA31" i="1" a="1"/>
  <c r="BA31" i="1" s="1"/>
  <c r="BA32" i="1" a="1"/>
  <c r="BA32" i="1" s="1"/>
  <c r="BA33" i="1" a="1"/>
  <c r="BA33" i="1" s="1"/>
  <c r="BA34" i="1" a="1"/>
  <c r="BA34" i="1" s="1"/>
  <c r="BA35" i="1" a="1"/>
  <c r="BA35" i="1" s="1"/>
  <c r="BA36" i="1" a="1"/>
  <c r="BA36" i="1" s="1"/>
  <c r="BA37" i="1" a="1"/>
  <c r="BA37" i="1" s="1"/>
  <c r="BA38" i="1" a="1"/>
  <c r="BA38" i="1" s="1"/>
  <c r="BA39" i="1" a="1"/>
  <c r="BA39" i="1" s="1"/>
  <c r="BA40" i="1" a="1"/>
  <c r="BA40" i="1" s="1"/>
  <c r="BA41" i="1" a="1"/>
  <c r="BA41" i="1" s="1"/>
  <c r="BA42" i="1" a="1"/>
  <c r="BA42" i="1" s="1"/>
  <c r="BA43" i="1" a="1"/>
  <c r="BA43" i="1" s="1"/>
  <c r="BA44" i="1" a="1"/>
  <c r="BA44" i="1" s="1"/>
  <c r="BA45" i="1" a="1"/>
  <c r="BA45" i="1" s="1"/>
  <c r="BB34" i="1" l="1"/>
  <c r="BD20" i="2"/>
  <c r="BD20" i="1"/>
  <c r="BD39" i="1"/>
  <c r="BD43" i="1"/>
  <c r="BD38" i="2"/>
  <c r="BD33" i="1"/>
  <c r="BD32" i="2"/>
  <c r="BD45" i="2"/>
  <c r="BD36" i="2"/>
  <c r="BD33" i="2"/>
  <c r="BD16" i="2"/>
  <c r="BD12" i="2"/>
  <c r="BD40" i="2"/>
  <c r="BD8" i="2"/>
  <c r="BD24" i="2"/>
  <c r="BD8" i="1"/>
  <c r="BD27" i="1"/>
  <c r="BD42" i="1"/>
  <c r="BD36" i="1"/>
  <c r="BD34" i="1"/>
  <c r="BD26" i="1"/>
  <c r="BD10" i="1"/>
  <c r="BB32" i="1"/>
  <c r="BD39" i="2"/>
  <c r="BD23" i="2"/>
  <c r="BD19" i="2"/>
  <c r="BD3" i="2"/>
  <c r="BD4" i="2"/>
  <c r="BD11" i="2"/>
  <c r="BD18" i="2"/>
  <c r="BD31" i="2"/>
  <c r="BD28" i="2"/>
  <c r="BD37" i="2"/>
  <c r="BD29" i="2"/>
  <c r="BD5" i="2"/>
  <c r="BD9" i="2"/>
  <c r="BD13" i="2"/>
  <c r="BD17" i="2"/>
  <c r="BD21" i="2"/>
  <c r="BD34" i="2"/>
  <c r="BD30" i="2"/>
  <c r="BD26" i="2"/>
  <c r="BD43" i="2"/>
  <c r="BD2" i="2"/>
  <c r="BD6" i="2"/>
  <c r="BD10" i="2"/>
  <c r="BD14" i="2"/>
  <c r="BD22" i="2"/>
  <c r="BD35" i="2"/>
  <c r="BD27" i="2"/>
  <c r="BD7" i="2"/>
  <c r="BD15" i="2"/>
  <c r="BB16" i="2"/>
  <c r="BB18" i="2"/>
  <c r="BB15" i="2"/>
  <c r="BB17" i="2"/>
  <c r="BB19" i="2"/>
  <c r="BB32" i="2"/>
  <c r="BB31" i="2"/>
  <c r="BB30" i="2"/>
  <c r="BB8" i="2"/>
  <c r="BB13" i="2"/>
  <c r="BB10" i="2"/>
  <c r="BB12" i="2"/>
  <c r="BB9" i="2"/>
  <c r="BB11" i="2"/>
  <c r="BB14" i="2"/>
  <c r="BB24" i="2"/>
  <c r="BB21" i="2"/>
  <c r="BB23" i="2"/>
  <c r="BB20" i="2"/>
  <c r="BB22" i="2"/>
  <c r="BB34" i="2"/>
  <c r="BB33" i="2"/>
  <c r="BB45" i="2"/>
  <c r="BB42" i="2"/>
  <c r="BB44" i="2"/>
  <c r="BB43" i="2"/>
  <c r="BB29" i="2"/>
  <c r="BB26" i="2"/>
  <c r="BB28" i="2"/>
  <c r="BB25" i="2"/>
  <c r="BB27" i="2"/>
  <c r="BB5" i="2"/>
  <c r="BB2" i="2"/>
  <c r="BB7" i="2"/>
  <c r="BB4" i="2"/>
  <c r="BB3" i="2"/>
  <c r="BB6" i="2"/>
  <c r="BB37" i="2"/>
  <c r="BB36" i="2"/>
  <c r="BB38" i="2"/>
  <c r="BB35" i="2"/>
  <c r="BB40" i="2"/>
  <c r="BB39" i="2"/>
  <c r="BB41" i="2"/>
  <c r="BD41" i="2"/>
  <c r="BD25" i="2"/>
  <c r="BD44" i="2"/>
  <c r="BD19" i="1"/>
  <c r="BD30" i="1"/>
  <c r="BD15" i="1"/>
  <c r="BD11" i="1"/>
  <c r="BB39" i="1"/>
  <c r="BD38" i="1"/>
  <c r="BD35" i="1"/>
  <c r="BD41" i="1"/>
  <c r="BD25" i="1"/>
  <c r="BD9" i="1"/>
  <c r="BD3" i="1"/>
  <c r="BD40" i="1"/>
  <c r="BD24" i="1"/>
  <c r="BD23" i="1"/>
  <c r="BB3" i="1"/>
  <c r="BD22" i="1"/>
  <c r="BD21" i="1"/>
  <c r="BD18" i="1"/>
  <c r="BD17" i="1"/>
  <c r="BD32" i="1"/>
  <c r="BD16" i="1"/>
  <c r="BD31" i="1"/>
  <c r="BD14" i="1"/>
  <c r="BD45" i="1"/>
  <c r="BD29" i="1"/>
  <c r="BD13" i="1"/>
  <c r="BD44" i="1"/>
  <c r="BD28" i="1"/>
  <c r="BD12" i="1"/>
  <c r="BB20" i="1"/>
  <c r="BD7" i="1"/>
  <c r="BD6" i="1"/>
  <c r="BD5" i="1"/>
  <c r="BD4" i="1"/>
  <c r="BB42" i="1"/>
  <c r="BB25" i="1"/>
  <c r="BB35" i="1"/>
  <c r="BB17" i="1"/>
  <c r="BB33" i="1"/>
  <c r="BB18" i="1"/>
  <c r="BB2" i="1"/>
  <c r="BB30" i="1"/>
  <c r="BD2" i="1"/>
  <c r="BB8" i="1"/>
  <c r="BB31" i="1"/>
  <c r="BB15" i="1"/>
  <c r="BB16" i="1"/>
  <c r="BB14" i="1"/>
  <c r="BB45" i="1"/>
  <c r="BB29" i="1"/>
  <c r="BB13" i="1"/>
  <c r="BB44" i="1"/>
  <c r="BB28" i="1"/>
  <c r="BB12" i="1"/>
  <c r="BB43" i="1"/>
  <c r="BB27" i="1"/>
  <c r="BB11" i="1"/>
  <c r="BB26" i="1"/>
  <c r="BB10" i="1"/>
  <c r="BB41" i="1"/>
  <c r="BB9" i="1"/>
  <c r="BB40" i="1"/>
  <c r="BB24" i="1"/>
  <c r="BB23" i="1"/>
  <c r="BB7" i="1"/>
  <c r="BB38" i="1"/>
  <c r="BB22" i="1"/>
  <c r="BB6" i="1"/>
  <c r="BB37" i="1"/>
  <c r="BB21" i="1"/>
  <c r="BB5" i="1"/>
  <c r="BB36" i="1"/>
  <c r="BB4" i="1"/>
  <c r="BB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<sst xmlns="http://schemas.openxmlformats.org/spreadsheetml/2006/main" count="3016" uniqueCount="157">
  <si>
    <t>Date</t>
  </si>
  <si>
    <t>Batch Name</t>
  </si>
  <si>
    <t>RWA Exps Typ</t>
  </si>
  <si>
    <t>GFCID</t>
  </si>
  <si>
    <t>Netting Set ID</t>
  </si>
  <si>
    <t>Netting Agreement ID</t>
  </si>
  <si>
    <t>Netting Flag</t>
  </si>
  <si>
    <t>Sft Transaction Type</t>
  </si>
  <si>
    <t>Bal Typ Cd</t>
  </si>
  <si>
    <t>Source system ID</t>
  </si>
  <si>
    <t>Source Txns ID</t>
  </si>
  <si>
    <t>Portfolio Type</t>
  </si>
  <si>
    <t>IMS Account Number</t>
  </si>
  <si>
    <t>Account Mnemonic</t>
  </si>
  <si>
    <t>Gfmis Code</t>
  </si>
  <si>
    <t>Sub Product</t>
  </si>
  <si>
    <t>Dsft Base Mpor</t>
  </si>
  <si>
    <t>Dsft Issue Mpor</t>
  </si>
  <si>
    <t>Dsft Issuer Mpor</t>
  </si>
  <si>
    <t>Dsft Base Conc</t>
  </si>
  <si>
    <t>Security ID Type</t>
  </si>
  <si>
    <t>Security ID</t>
  </si>
  <si>
    <t>Security Description</t>
  </si>
  <si>
    <t>Security Rating</t>
  </si>
  <si>
    <t>Stale prc flg 2days</t>
  </si>
  <si>
    <t>Illiquid Collateral Flag</t>
  </si>
  <si>
    <t>Illiquid Flag</t>
  </si>
  <si>
    <t>Large Netting Set Flag</t>
  </si>
  <si>
    <t>Margin Dispute Flag</t>
  </si>
  <si>
    <t>Is Portfolio Concentrated</t>
  </si>
  <si>
    <t>Extended MPOR indicator</t>
  </si>
  <si>
    <t>Extended MPOR Reason</t>
  </si>
  <si>
    <t>Concentration flag derived</t>
  </si>
  <si>
    <t>LRM Flag</t>
  </si>
  <si>
    <t>SWWR Flag</t>
  </si>
  <si>
    <t>SWWR Description</t>
  </si>
  <si>
    <t>Agency Lending Indicator</t>
  </si>
  <si>
    <t>Basel Calculation Methodology Code</t>
  </si>
  <si>
    <t>Haircut</t>
  </si>
  <si>
    <t>Haircut Eligible Status</t>
  </si>
  <si>
    <t>Haircut Eligible Reason Cd</t>
  </si>
  <si>
    <t>Basel Calculatio Methodology Code Description</t>
  </si>
  <si>
    <t>Settlement Date</t>
  </si>
  <si>
    <t>Maturity Date</t>
  </si>
  <si>
    <t>ISO Currency</t>
  </si>
  <si>
    <t>ISO CCY</t>
  </si>
  <si>
    <t>Prin CCY</t>
  </si>
  <si>
    <t>ISO Currency Derived</t>
  </si>
  <si>
    <t>Largest Net CCY</t>
  </si>
  <si>
    <t>Agr Settlement Ccy code</t>
  </si>
  <si>
    <t>Buy or Sell Indicator</t>
  </si>
  <si>
    <t>Std DSFT Final MPOR</t>
  </si>
  <si>
    <t>NS MPOR</t>
  </si>
  <si>
    <t>Scen A MPOR</t>
  </si>
  <si>
    <t>NS MPOR  - Scen B</t>
  </si>
  <si>
    <t>Scen B MPOR</t>
  </si>
  <si>
    <t>Period of Risk Days</t>
  </si>
  <si>
    <t>Remargining Frequency</t>
  </si>
  <si>
    <t>Scenario</t>
  </si>
  <si>
    <t>STD EAD Scenario Used</t>
  </si>
  <si>
    <t>Check Scenario</t>
  </si>
  <si>
    <t>Dsft Cmtrcvrfac Scen1</t>
  </si>
  <si>
    <t>Dsft Rcvr Fac Scen2</t>
  </si>
  <si>
    <t>Exposure Currency</t>
  </si>
  <si>
    <t>Collateral Currency</t>
  </si>
  <si>
    <t>Security Quantity</t>
  </si>
  <si>
    <t>Principal</t>
  </si>
  <si>
    <t>Market Value</t>
  </si>
  <si>
    <t>Dsft Over Mpor Scen1</t>
  </si>
  <si>
    <t>Dsft Over Mpor Scen2</t>
  </si>
  <si>
    <t>Counterparty GFCID</t>
  </si>
  <si>
    <t>GFCID Name</t>
  </si>
  <si>
    <t>USCON</t>
  </si>
  <si>
    <t>Y</t>
  </si>
  <si>
    <t>MARGIN_LOAN</t>
  </si>
  <si>
    <t>Netting Set</t>
  </si>
  <si>
    <t>NOT_CONCENTRATED</t>
  </si>
  <si>
    <t>CUSP</t>
  </si>
  <si>
    <t>Security 1</t>
  </si>
  <si>
    <t>Unrated</t>
  </si>
  <si>
    <t>N</t>
  </si>
  <si>
    <t>Concentrated</t>
  </si>
  <si>
    <t>No SWWR</t>
  </si>
  <si>
    <t>Elligible</t>
  </si>
  <si>
    <t>Elligible-Equity Public</t>
  </si>
  <si>
    <t>B3</t>
  </si>
  <si>
    <t>EUR</t>
  </si>
  <si>
    <t>USD</t>
  </si>
  <si>
    <t>B</t>
  </si>
  <si>
    <t>SCENARIO1</t>
  </si>
  <si>
    <t>Ctpy 1</t>
  </si>
  <si>
    <t>Security 2</t>
  </si>
  <si>
    <t>Security 3</t>
  </si>
  <si>
    <t xml:space="preserve">                            </t>
  </si>
  <si>
    <t>S</t>
  </si>
  <si>
    <t>Security 4</t>
  </si>
  <si>
    <t>Security 5</t>
  </si>
  <si>
    <t>Security 6</t>
  </si>
  <si>
    <t>Ineligible</t>
  </si>
  <si>
    <t>Defaulting to INELIGIBLE as SMCP not found</t>
  </si>
  <si>
    <t>Security 7</t>
  </si>
  <si>
    <t>Ctpy 2</t>
  </si>
  <si>
    <t>Security 8</t>
  </si>
  <si>
    <t>Security 9</t>
  </si>
  <si>
    <t>Security 10</t>
  </si>
  <si>
    <t>Security 11</t>
  </si>
  <si>
    <t>Security 12</t>
  </si>
  <si>
    <t>Security 13</t>
  </si>
  <si>
    <t>CAD</t>
  </si>
  <si>
    <t>Security 14</t>
  </si>
  <si>
    <t>SCENARIO2</t>
  </si>
  <si>
    <t>Ctpy 3</t>
  </si>
  <si>
    <t>Security 15</t>
  </si>
  <si>
    <t>GBP</t>
  </si>
  <si>
    <t>Security 16</t>
  </si>
  <si>
    <t>Security 17</t>
  </si>
  <si>
    <t>Security 18</t>
  </si>
  <si>
    <t>SFT</t>
  </si>
  <si>
    <t>Security 19</t>
  </si>
  <si>
    <t>Ctpy 4</t>
  </si>
  <si>
    <t>Security 20</t>
  </si>
  <si>
    <t>Security 21</t>
  </si>
  <si>
    <t>Security 22</t>
  </si>
  <si>
    <t>Security 23</t>
  </si>
  <si>
    <t>SEVERE_CONCENTRATION</t>
  </si>
  <si>
    <t>Security 24</t>
  </si>
  <si>
    <t>EligVC:Ineligible-Debt-NIG-ER&gt;3</t>
  </si>
  <si>
    <t>Ctpy 5</t>
  </si>
  <si>
    <t>Security 25</t>
  </si>
  <si>
    <t>HIGH_CONCENTRATION</t>
  </si>
  <si>
    <t>Security 26</t>
  </si>
  <si>
    <t>Elligible-Debt-IG-ER[1,2,3]-No IR</t>
  </si>
  <si>
    <t>Security 27</t>
  </si>
  <si>
    <t>Security 28</t>
  </si>
  <si>
    <t>Security 29</t>
  </si>
  <si>
    <t>Ctpy 6</t>
  </si>
  <si>
    <t>Security 30</t>
  </si>
  <si>
    <t>Security 31</t>
  </si>
  <si>
    <t>Security 32</t>
  </si>
  <si>
    <t>EligVC:Ineligible-Debt-NIG-No ER/IR</t>
  </si>
  <si>
    <t>Ctpy 7</t>
  </si>
  <si>
    <t>CASH REPO MARGIN</t>
  </si>
  <si>
    <t>Eligible-Cash</t>
  </si>
  <si>
    <t>Security 34</t>
  </si>
  <si>
    <t>Ctpy 8</t>
  </si>
  <si>
    <t>Security 35</t>
  </si>
  <si>
    <t>Security 36</t>
  </si>
  <si>
    <t>Security 37</t>
  </si>
  <si>
    <t>Security 38</t>
  </si>
  <si>
    <t>Ctpy 9</t>
  </si>
  <si>
    <t>Security 39</t>
  </si>
  <si>
    <t>Security 40</t>
  </si>
  <si>
    <t>Security 41</t>
  </si>
  <si>
    <t>Ctpy 10</t>
  </si>
  <si>
    <t>Security 42</t>
  </si>
  <si>
    <t>Security 43</t>
  </si>
  <si>
    <t>Security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</si>
</sst>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4" fillId="0" borderId="0" xfId="0" applyFont="1"/>
    <xf numFmtId="2" fontId="0" fillId="0" borderId="0" xfId="1" applyNumberFormat="1" applyFont="1"/>
    <xf numFmtId="2" fontId="0" fillId="0" borderId="0" xfId="0" applyNumberFormat="1"/>
    <xf numFmtId="2" fontId="14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C133-E1A4-4714-9385-C25DA1CAD29C}">
  <dimension ref="A1:BT45"/>
  <sheetViews>
    <sheetView tabSelected="1" workbookViewId="0">
      <selection activeCell="V2" sqref="V2:V45"/>
    </sheetView>
  </sheetViews>
  <sheetFormatPr defaultRowHeight="14.5" x14ac:dyDescent="0.35"/>
  <cols>
    <col min="1" max="1" width="9.453125" bestFit="1" customWidth="1"/>
    <col min="52" max="66" width="9.1796875" hidden="1" customWidth="1"/>
    <col min="67" max="67" width="9.1796875" customWidth="1"/>
    <col min="68" max="68" width="15.26953125" style="3" bestFit="1" customWidth="1"/>
  </cols>
  <sheetData>
    <row r="1" spans="1:7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3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5">
      <c r="A2" s="1">
        <v>45837</v>
      </c>
      <c r="B2" t="s">
        <v>72</v>
      </c>
      <c r="C2">
        <v>12</v>
      </c>
      <c r="D2">
        <v>100000001</v>
      </c>
      <c r="E2">
        <v>1</v>
      </c>
      <c r="F2">
        <v>1</v>
      </c>
      <c r="G2" t="s">
        <v>73</v>
      </c>
      <c r="H2" t="s">
        <v>74</v>
      </c>
      <c r="I2">
        <v>15</v>
      </c>
      <c r="J2">
        <v>163186</v>
      </c>
      <c r="K2">
        <v>59328417</v>
      </c>
      <c r="L2" t="s">
        <v>75</v>
      </c>
      <c r="M2">
        <v>1</v>
      </c>
      <c r="N2">
        <v>2</v>
      </c>
      <c r="O2">
        <v>1</v>
      </c>
      <c r="P2">
        <v>2</v>
      </c>
      <c r="Q2">
        <v>5</v>
      </c>
      <c r="R2">
        <v>0</v>
      </c>
      <c r="S2">
        <v>5</v>
      </c>
      <c r="T2" t="s">
        <v>76</v>
      </c>
      <c r="U2" t="s">
        <v>77</v>
      </c>
      <c r="V2" t="s">
        <v>78</v>
      </c>
      <c r="W2" t="s">
        <v>78</v>
      </c>
      <c r="X2" t="s">
        <v>79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73</v>
      </c>
      <c r="AE2" t="s">
        <v>73</v>
      </c>
      <c r="AF2" t="s">
        <v>81</v>
      </c>
      <c r="AG2" t="b">
        <v>0</v>
      </c>
      <c r="AH2" t="s">
        <v>73</v>
      </c>
      <c r="AI2" t="s">
        <v>80</v>
      </c>
      <c r="AJ2" t="s">
        <v>82</v>
      </c>
      <c r="AL2">
        <v>1</v>
      </c>
      <c r="AM2">
        <v>0.15</v>
      </c>
      <c r="AN2" t="s">
        <v>83</v>
      </c>
      <c r="AO2" t="s">
        <v>84</v>
      </c>
      <c r="AP2" t="s">
        <v>85</v>
      </c>
      <c r="AQ2" s="1">
        <v>1</v>
      </c>
      <c r="AS2" t="s">
        <v>86</v>
      </c>
      <c r="AT2" t="s">
        <v>86</v>
      </c>
      <c r="AV2" t="s">
        <v>86</v>
      </c>
      <c r="AW2" t="s">
        <v>87</v>
      </c>
      <c r="AX2" t="s">
        <v>87</v>
      </c>
      <c r="AY2" t="s">
        <v>88</v>
      </c>
      <c r="AZ2">
        <v>10</v>
      </c>
      <c r="BA2" cm="1">
        <f t="array" ref="BA2">_xlfn.IFS(AND(AB2 = "N", AA2 = "N", AF2 &lt;&gt; "Concentrated", AC2 = "N",H2="MARGIN_LOAN"), 10,
AND(AB2 = "N", AA2 = "N", AF2 &lt;&gt; "Concentrated", AC2 = "N",H2="SFT"), 5,
AND(AB2 = "N", AA2 = "N", AF2 &lt;&gt; "Concentrated", AC2 = "Y",H2="MARGIN_LOAN"), 20,
AND(AB2 = "N", AA2 = "N", AF2 &lt;&gt; "Concentrated", AC2 = "Y",H2="SFT"), 10,
AND(AB2 = "Y", AA2 = "N", AF2 &lt;&gt; "Concentrated", AC2 = "N"), 20,
AND(AB2 = "Y", AA2 = "N", AF2 &lt;&gt; "Concentrated", AC2 = "Y"), 40,
AND(AB2 = "N",  OR(AA2 = "Y", AF2 = "Concentrated"), AC2 = "N"), 20,
AND(AB2 = "N",  OR(AA2 = "Y", AF2 = "Concentrated"), AC2 = "Y"), 40,
AND(AB2 = "Y",  OR(AA2 = "Y", AF2 = "Concentrated"), AC2 = "N"), 20,
AND(AB2 = "Y",  OR(AA2 = "Y", AF2 = "Concentrated"), AC2 = "Y"), 40)</f>
        <v>20</v>
      </c>
      <c r="BB2">
        <f>_xlfn.MAXIFS(BA:BA,E:E,E2)</f>
        <v>20</v>
      </c>
      <c r="BC2">
        <f>IF(OR(BH2="SCENARIO1",BH2="SCENARIO2"),10,BA2)</f>
        <v>10</v>
      </c>
      <c r="BD2">
        <f>_xlfn.MAXIFS(BC:BC,E:E,E2)</f>
        <v>10</v>
      </c>
      <c r="BE2">
        <v>10</v>
      </c>
      <c r="BF2">
        <v>1</v>
      </c>
      <c r="BG2" t="str">
        <f>IF(AND(AB2 = "N", AC2 = "N", OR(Z2="Y",AD2="Y")), "SCENARIO","NA")</f>
        <v>SCENARIO</v>
      </c>
      <c r="BH2" t="s">
        <v>89</v>
      </c>
      <c r="BI2" t="b">
        <v>1</v>
      </c>
      <c r="BJ2">
        <v>1</v>
      </c>
      <c r="BK2">
        <v>1</v>
      </c>
      <c r="BM2" t="s">
        <v>86</v>
      </c>
      <c r="BN2">
        <v>18000</v>
      </c>
      <c r="BP2" s="4">
        <v>891186.97</v>
      </c>
      <c r="BQ2">
        <v>10</v>
      </c>
      <c r="BR2">
        <v>20</v>
      </c>
      <c r="BS2">
        <v>100000001</v>
      </c>
      <c r="BT2" t="s">
        <v>90</v>
      </c>
    </row>
    <row r="3" spans="1:72" x14ac:dyDescent="0.35">
      <c r="A3" s="1">
        <v>45837</v>
      </c>
      <c r="B3" t="s">
        <v>72</v>
      </c>
      <c r="C3">
        <v>12</v>
      </c>
      <c r="D3">
        <v>100000001</v>
      </c>
      <c r="E3">
        <v>1</v>
      </c>
      <c r="F3">
        <v>1</v>
      </c>
      <c r="G3" t="s">
        <v>73</v>
      </c>
      <c r="H3" t="s">
        <v>74</v>
      </c>
      <c r="I3">
        <v>15</v>
      </c>
      <c r="J3">
        <v>163186</v>
      </c>
      <c r="K3">
        <v>81426350</v>
      </c>
      <c r="L3" t="s">
        <v>75</v>
      </c>
      <c r="M3">
        <v>1</v>
      </c>
      <c r="N3">
        <v>2</v>
      </c>
      <c r="O3">
        <v>1</v>
      </c>
      <c r="P3">
        <v>2</v>
      </c>
      <c r="Q3">
        <v>5</v>
      </c>
      <c r="R3">
        <v>0</v>
      </c>
      <c r="S3">
        <v>5</v>
      </c>
      <c r="T3" t="s">
        <v>76</v>
      </c>
      <c r="U3" t="s">
        <v>77</v>
      </c>
      <c r="V3" t="s">
        <v>91</v>
      </c>
      <c r="W3" t="s">
        <v>91</v>
      </c>
      <c r="X3" t="s">
        <v>79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73</v>
      </c>
      <c r="AE3" t="s">
        <v>73</v>
      </c>
      <c r="AF3" t="s">
        <v>81</v>
      </c>
      <c r="AG3" t="b">
        <v>0</v>
      </c>
      <c r="AH3" t="s">
        <v>73</v>
      </c>
      <c r="AI3" t="s">
        <v>80</v>
      </c>
      <c r="AJ3" t="s">
        <v>82</v>
      </c>
      <c r="AL3">
        <v>1</v>
      </c>
      <c r="AM3">
        <v>0.25</v>
      </c>
      <c r="AN3" t="s">
        <v>83</v>
      </c>
      <c r="AO3" t="s">
        <v>84</v>
      </c>
      <c r="AP3" t="s">
        <v>85</v>
      </c>
      <c r="AQ3" s="1">
        <v>1</v>
      </c>
      <c r="AS3" t="s">
        <v>87</v>
      </c>
      <c r="AT3" t="s">
        <v>87</v>
      </c>
      <c r="AV3" t="s">
        <v>87</v>
      </c>
      <c r="AW3" t="s">
        <v>87</v>
      </c>
      <c r="AX3" t="s">
        <v>87</v>
      </c>
      <c r="AY3" t="s">
        <v>88</v>
      </c>
      <c r="AZ3">
        <v>10</v>
      </c>
      <c r="BA3" cm="1">
        <f t="array" ref="BA3">_xlfn.IFS(AND(AB3 = "N", AA3 = "N", AF3 &lt;&gt; "Concentrated", AC3 = "N",H3="MARGIN_LOAN"), 10,
AND(AB3 = "N", AA3 = "N", AF3 &lt;&gt; "Concentrated", AC3 = "N",H3="SFT"), 5,
AND(AB3 = "N", AA3 = "N", AF3 &lt;&gt; "Concentrated", AC3 = "Y",H3="MARGIN_LOAN"), 20,
AND(AB3 = "N", AA3 = "N", AF3 &lt;&gt; "Concentrated", AC3 = "Y",H3="SFT"), 10,
AND(AB3 = "Y", AA3 = "N", AF3 &lt;&gt; "Concentrated", AC3 = "N"), 20,
AND(AB3 = "Y", AA3 = "N", AF3 &lt;&gt; "Concentrated", AC3 = "Y"), 40,
AND(AB3 = "N",  OR(AA3 = "Y", AF3 = "Concentrated"), AC3 = "N"), 20,
AND(AB3 = "N",  OR(AA3 = "Y", AF3 = "Concentrated"), AC3 = "Y"), 40,
AND(AB3 = "Y",  OR(AA3 = "Y", AF3 = "Concentrated"), AC3 = "N"), 20,
AND(AB3 = "Y",  OR(AA3 = "Y", AF3 = "Concentrated"), AC3 = "Y"), 40)</f>
        <v>20</v>
      </c>
      <c r="BB3">
        <f t="shared" ref="BB3:BB45" si="0">_xlfn.MAXIFS(BA:BA,E:E,E3)</f>
        <v>20</v>
      </c>
      <c r="BC3">
        <f t="shared" ref="BC3:BC19" si="1">IF(OR(BH3="SCENARIO1",BH3="SCENARIO2"),10,BA3)</f>
        <v>10</v>
      </c>
      <c r="BD3">
        <f t="shared" ref="BD3:BD45" si="2">_xlfn.MAXIFS(BC:BC,E:E,E3)</f>
        <v>10</v>
      </c>
      <c r="BE3">
        <v>10</v>
      </c>
      <c r="BF3">
        <v>1</v>
      </c>
      <c r="BG3" t="str">
        <f t="shared" ref="BG3:BG45" si="3">IF(AND(AB3 = "N", AC3 = "N", OR(Z3="Y",AD3="Y")), "SCENARIO","NA")</f>
        <v>SCENARIO</v>
      </c>
      <c r="BH3" t="s">
        <v>89</v>
      </c>
      <c r="BI3" t="b">
        <v>1</v>
      </c>
      <c r="BJ3">
        <v>1</v>
      </c>
      <c r="BK3">
        <v>1</v>
      </c>
      <c r="BM3" t="s">
        <v>87</v>
      </c>
      <c r="BN3">
        <v>8000</v>
      </c>
      <c r="BP3" s="4">
        <v>113431.08</v>
      </c>
      <c r="BQ3">
        <v>10</v>
      </c>
      <c r="BR3">
        <v>20</v>
      </c>
      <c r="BS3">
        <v>100000001</v>
      </c>
      <c r="BT3" t="s">
        <v>90</v>
      </c>
    </row>
    <row r="4" spans="1:72" x14ac:dyDescent="0.35">
      <c r="A4" s="1">
        <v>45837</v>
      </c>
      <c r="B4" t="s">
        <v>72</v>
      </c>
      <c r="C4">
        <v>12</v>
      </c>
      <c r="D4">
        <v>100000001</v>
      </c>
      <c r="E4">
        <v>1</v>
      </c>
      <c r="F4">
        <v>1</v>
      </c>
      <c r="G4" t="s">
        <v>73</v>
      </c>
      <c r="H4" t="s">
        <v>74</v>
      </c>
      <c r="I4">
        <v>15</v>
      </c>
      <c r="J4">
        <v>163186</v>
      </c>
      <c r="K4">
        <v>70219543</v>
      </c>
      <c r="L4" t="s">
        <v>75</v>
      </c>
      <c r="M4">
        <v>1</v>
      </c>
      <c r="N4">
        <v>2</v>
      </c>
      <c r="O4">
        <v>1</v>
      </c>
      <c r="P4">
        <v>2</v>
      </c>
      <c r="Q4">
        <v>5</v>
      </c>
      <c r="R4">
        <v>0</v>
      </c>
      <c r="S4">
        <v>5</v>
      </c>
      <c r="T4" t="s">
        <v>76</v>
      </c>
      <c r="U4" t="s">
        <v>77</v>
      </c>
      <c r="V4" t="s">
        <v>92</v>
      </c>
      <c r="W4" t="s">
        <v>92</v>
      </c>
      <c r="X4" t="s">
        <v>79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73</v>
      </c>
      <c r="AE4" t="s">
        <v>73</v>
      </c>
      <c r="AF4" t="s">
        <v>81</v>
      </c>
      <c r="AG4" t="b">
        <v>0</v>
      </c>
      <c r="AH4" t="s">
        <v>73</v>
      </c>
      <c r="AI4" t="s">
        <v>80</v>
      </c>
      <c r="AJ4" t="s">
        <v>82</v>
      </c>
      <c r="AK4" t="s">
        <v>93</v>
      </c>
      <c r="AL4">
        <v>1</v>
      </c>
      <c r="AM4">
        <v>0.25</v>
      </c>
      <c r="AN4" t="s">
        <v>83</v>
      </c>
      <c r="AO4" t="s">
        <v>84</v>
      </c>
      <c r="AP4" t="s">
        <v>85</v>
      </c>
      <c r="AQ4" s="1">
        <v>1</v>
      </c>
      <c r="AS4" t="s">
        <v>87</v>
      </c>
      <c r="AT4" t="s">
        <v>87</v>
      </c>
      <c r="AV4" t="s">
        <v>87</v>
      </c>
      <c r="AW4" t="s">
        <v>87</v>
      </c>
      <c r="AX4" t="s">
        <v>87</v>
      </c>
      <c r="AY4" t="s">
        <v>94</v>
      </c>
      <c r="AZ4">
        <v>10</v>
      </c>
      <c r="BA4" cm="1">
        <f t="array" ref="BA4">_xlfn.IFS(AND(AB4 = "N", AA4 = "N", AF4 &lt;&gt; "Concentrated", AC4 = "N",H4="MARGIN_LOAN"), 10,
AND(AB4 = "N", AA4 = "N", AF4 &lt;&gt; "Concentrated", AC4 = "N",H4="SFT"), 5,
AND(AB4 = "N", AA4 = "N", AF4 &lt;&gt; "Concentrated", AC4 = "Y",H4="MARGIN_LOAN"), 20,
AND(AB4 = "N", AA4 = "N", AF4 &lt;&gt; "Concentrated", AC4 = "Y",H4="SFT"), 10,
AND(AB4 = "Y", AA4 = "N", AF4 &lt;&gt; "Concentrated", AC4 = "N"), 20,
AND(AB4 = "Y", AA4 = "N", AF4 &lt;&gt; "Concentrated", AC4 = "Y"), 40,
AND(AB4 = "N",  OR(AA4 = "Y", AF4 = "Concentrated"), AC4 = "N"), 20,
AND(AB4 = "N",  OR(AA4 = "Y", AF4 = "Concentrated"), AC4 = "Y"), 40,
AND(AB4 = "Y",  OR(AA4 = "Y", AF4 = "Concentrated"), AC4 = "N"), 20,
AND(AB4 = "Y",  OR(AA4 = "Y", AF4 = "Concentrated"), AC4 = "Y"), 40)</f>
        <v>20</v>
      </c>
      <c r="BB4">
        <f t="shared" si="0"/>
        <v>20</v>
      </c>
      <c r="BC4">
        <f t="shared" si="1"/>
        <v>10</v>
      </c>
      <c r="BD4">
        <f t="shared" si="2"/>
        <v>10</v>
      </c>
      <c r="BE4">
        <v>10</v>
      </c>
      <c r="BF4">
        <v>1</v>
      </c>
      <c r="BG4" t="str">
        <f t="shared" si="3"/>
        <v>SCENARIO</v>
      </c>
      <c r="BH4" t="s">
        <v>89</v>
      </c>
      <c r="BI4" t="b">
        <v>1</v>
      </c>
      <c r="BJ4">
        <v>1</v>
      </c>
      <c r="BK4">
        <v>1</v>
      </c>
      <c r="BL4" t="s">
        <v>87</v>
      </c>
      <c r="BN4">
        <v>1000</v>
      </c>
      <c r="BP4" s="4">
        <v>14744.43</v>
      </c>
      <c r="BQ4">
        <v>10</v>
      </c>
      <c r="BR4">
        <v>20</v>
      </c>
      <c r="BS4">
        <v>100000001</v>
      </c>
      <c r="BT4" t="s">
        <v>90</v>
      </c>
    </row>
    <row r="5" spans="1:72" x14ac:dyDescent="0.35">
      <c r="A5" s="1">
        <v>45837</v>
      </c>
      <c r="B5" t="s">
        <v>72</v>
      </c>
      <c r="C5">
        <v>12</v>
      </c>
      <c r="D5">
        <v>100000001</v>
      </c>
      <c r="E5">
        <v>1</v>
      </c>
      <c r="F5">
        <v>1</v>
      </c>
      <c r="G5" t="s">
        <v>73</v>
      </c>
      <c r="H5" t="s">
        <v>74</v>
      </c>
      <c r="I5">
        <v>15</v>
      </c>
      <c r="J5">
        <v>163186</v>
      </c>
      <c r="K5">
        <v>49613820</v>
      </c>
      <c r="L5" t="s">
        <v>75</v>
      </c>
      <c r="M5">
        <v>1</v>
      </c>
      <c r="N5">
        <v>2</v>
      </c>
      <c r="O5">
        <v>1</v>
      </c>
      <c r="P5">
        <v>2</v>
      </c>
      <c r="Q5">
        <v>5</v>
      </c>
      <c r="R5">
        <v>0</v>
      </c>
      <c r="S5">
        <v>5</v>
      </c>
      <c r="T5" t="s">
        <v>76</v>
      </c>
      <c r="U5" t="s">
        <v>77</v>
      </c>
      <c r="V5" t="s">
        <v>95</v>
      </c>
      <c r="W5" t="s">
        <v>95</v>
      </c>
      <c r="X5" t="s">
        <v>79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73</v>
      </c>
      <c r="AE5" t="s">
        <v>73</v>
      </c>
      <c r="AF5" t="s">
        <v>81</v>
      </c>
      <c r="AG5" t="b">
        <v>0</v>
      </c>
      <c r="AH5" t="s">
        <v>73</v>
      </c>
      <c r="AI5" t="s">
        <v>80</v>
      </c>
      <c r="AJ5" t="s">
        <v>82</v>
      </c>
      <c r="AL5">
        <v>1</v>
      </c>
      <c r="AM5">
        <v>0.25</v>
      </c>
      <c r="AN5" t="s">
        <v>83</v>
      </c>
      <c r="AO5" t="s">
        <v>84</v>
      </c>
      <c r="AP5" t="s">
        <v>85</v>
      </c>
      <c r="AQ5" s="1">
        <v>1</v>
      </c>
      <c r="AS5" t="s">
        <v>87</v>
      </c>
      <c r="AT5" t="s">
        <v>87</v>
      </c>
      <c r="AV5" t="s">
        <v>87</v>
      </c>
      <c r="AW5" t="s">
        <v>87</v>
      </c>
      <c r="AX5" t="s">
        <v>87</v>
      </c>
      <c r="AY5" t="s">
        <v>88</v>
      </c>
      <c r="AZ5">
        <v>10</v>
      </c>
      <c r="BA5" cm="1">
        <f t="array" ref="BA5">_xlfn.IFS(AND(AB5 = "N", AA5 = "N", AF5 &lt;&gt; "Concentrated", AC5 = "N",H5="MARGIN_LOAN"), 10,
AND(AB5 = "N", AA5 = "N", AF5 &lt;&gt; "Concentrated", AC5 = "N",H5="SFT"), 5,
AND(AB5 = "N", AA5 = "N", AF5 &lt;&gt; "Concentrated", AC5 = "Y",H5="MARGIN_LOAN"), 20,
AND(AB5 = "N", AA5 = "N", AF5 &lt;&gt; "Concentrated", AC5 = "Y",H5="SFT"), 10,
AND(AB5 = "Y", AA5 = "N", AF5 &lt;&gt; "Concentrated", AC5 = "N"), 20,
AND(AB5 = "Y", AA5 = "N", AF5 &lt;&gt; "Concentrated", AC5 = "Y"), 40,
AND(AB5 = "N",  OR(AA5 = "Y", AF5 = "Concentrated"), AC5 = "N"), 20,
AND(AB5 = "N",  OR(AA5 = "Y", AF5 = "Concentrated"), AC5 = "Y"), 40,
AND(AB5 = "Y",  OR(AA5 = "Y", AF5 = "Concentrated"), AC5 = "N"), 20,
AND(AB5 = "Y",  OR(AA5 = "Y", AF5 = "Concentrated"), AC5 = "Y"), 40)</f>
        <v>20</v>
      </c>
      <c r="BB5">
        <f t="shared" si="0"/>
        <v>20</v>
      </c>
      <c r="BC5">
        <f t="shared" si="1"/>
        <v>10</v>
      </c>
      <c r="BD5">
        <f t="shared" si="2"/>
        <v>10</v>
      </c>
      <c r="BE5">
        <v>10</v>
      </c>
      <c r="BF5">
        <v>1</v>
      </c>
      <c r="BG5" t="str">
        <f t="shared" si="3"/>
        <v>SCENARIO</v>
      </c>
      <c r="BH5" t="s">
        <v>89</v>
      </c>
      <c r="BI5" t="b">
        <v>1</v>
      </c>
      <c r="BJ5">
        <v>1</v>
      </c>
      <c r="BK5">
        <v>1</v>
      </c>
      <c r="BM5" t="s">
        <v>87</v>
      </c>
      <c r="BN5">
        <v>7000</v>
      </c>
      <c r="BP5" s="4">
        <v>324680.8</v>
      </c>
      <c r="BQ5">
        <v>10</v>
      </c>
      <c r="BR5">
        <v>20</v>
      </c>
      <c r="BS5">
        <v>100000001</v>
      </c>
      <c r="BT5" t="s">
        <v>90</v>
      </c>
    </row>
    <row r="6" spans="1:72" x14ac:dyDescent="0.35">
      <c r="A6" s="1">
        <v>45837</v>
      </c>
      <c r="B6" t="s">
        <v>72</v>
      </c>
      <c r="C6">
        <v>12</v>
      </c>
      <c r="D6">
        <v>100000001</v>
      </c>
      <c r="E6">
        <v>1</v>
      </c>
      <c r="F6">
        <v>1</v>
      </c>
      <c r="G6" t="s">
        <v>73</v>
      </c>
      <c r="H6" t="s">
        <v>74</v>
      </c>
      <c r="I6">
        <v>15</v>
      </c>
      <c r="J6">
        <v>163186</v>
      </c>
      <c r="K6">
        <v>38275196</v>
      </c>
      <c r="L6" t="s">
        <v>75</v>
      </c>
      <c r="M6">
        <v>1</v>
      </c>
      <c r="N6">
        <v>2</v>
      </c>
      <c r="O6">
        <v>1</v>
      </c>
      <c r="P6">
        <v>2</v>
      </c>
      <c r="Q6">
        <v>5</v>
      </c>
      <c r="R6">
        <v>0</v>
      </c>
      <c r="S6">
        <v>5</v>
      </c>
      <c r="T6" t="s">
        <v>76</v>
      </c>
      <c r="U6" t="s">
        <v>77</v>
      </c>
      <c r="V6" t="s">
        <v>96</v>
      </c>
      <c r="W6" t="s">
        <v>96</v>
      </c>
      <c r="X6" t="s">
        <v>79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73</v>
      </c>
      <c r="AE6" t="s">
        <v>73</v>
      </c>
      <c r="AF6" t="s">
        <v>81</v>
      </c>
      <c r="AG6" t="b">
        <v>0</v>
      </c>
      <c r="AH6" t="s">
        <v>73</v>
      </c>
      <c r="AI6" t="s">
        <v>80</v>
      </c>
      <c r="AJ6" t="s">
        <v>82</v>
      </c>
      <c r="AL6">
        <v>1</v>
      </c>
      <c r="AM6">
        <v>0.15</v>
      </c>
      <c r="AN6" t="s">
        <v>83</v>
      </c>
      <c r="AO6" t="s">
        <v>84</v>
      </c>
      <c r="AP6" t="s">
        <v>85</v>
      </c>
      <c r="AQ6" s="1">
        <v>1</v>
      </c>
      <c r="AS6" t="s">
        <v>87</v>
      </c>
      <c r="AT6" t="s">
        <v>87</v>
      </c>
      <c r="AV6" t="s">
        <v>87</v>
      </c>
      <c r="AW6" t="s">
        <v>87</v>
      </c>
      <c r="AX6" t="s">
        <v>87</v>
      </c>
      <c r="AY6" t="s">
        <v>88</v>
      </c>
      <c r="AZ6">
        <v>10</v>
      </c>
      <c r="BA6" cm="1">
        <f t="array" ref="BA6">_xlfn.IFS(AND(AB6 = "N", AA6 = "N", AF6 &lt;&gt; "Concentrated", AC6 = "N",H6="MARGIN_LOAN"), 10,
AND(AB6 = "N", AA6 = "N", AF6 &lt;&gt; "Concentrated", AC6 = "N",H6="SFT"), 5,
AND(AB6 = "N", AA6 = "N", AF6 &lt;&gt; "Concentrated", AC6 = "Y",H6="MARGIN_LOAN"), 20,
AND(AB6 = "N", AA6 = "N", AF6 &lt;&gt; "Concentrated", AC6 = "Y",H6="SFT"), 10,
AND(AB6 = "Y", AA6 = "N", AF6 &lt;&gt; "Concentrated", AC6 = "N"), 20,
AND(AB6 = "Y", AA6 = "N", AF6 &lt;&gt; "Concentrated", AC6 = "Y"), 40,
AND(AB6 = "N",  OR(AA6 = "Y", AF6 = "Concentrated"), AC6 = "N"), 20,
AND(AB6 = "N",  OR(AA6 = "Y", AF6 = "Concentrated"), AC6 = "Y"), 40,
AND(AB6 = "Y",  OR(AA6 = "Y", AF6 = "Concentrated"), AC6 = "N"), 20,
AND(AB6 = "Y",  OR(AA6 = "Y", AF6 = "Concentrated"), AC6 = "Y"), 40)</f>
        <v>20</v>
      </c>
      <c r="BB6">
        <f t="shared" si="0"/>
        <v>20</v>
      </c>
      <c r="BC6">
        <f t="shared" si="1"/>
        <v>10</v>
      </c>
      <c r="BD6">
        <f t="shared" si="2"/>
        <v>10</v>
      </c>
      <c r="BE6">
        <v>10</v>
      </c>
      <c r="BF6">
        <v>1</v>
      </c>
      <c r="BG6" t="str">
        <f t="shared" si="3"/>
        <v>SCENARIO</v>
      </c>
      <c r="BH6" t="s">
        <v>89</v>
      </c>
      <c r="BI6" t="b">
        <v>1</v>
      </c>
      <c r="BJ6">
        <v>1</v>
      </c>
      <c r="BK6">
        <v>1</v>
      </c>
      <c r="BM6" t="s">
        <v>87</v>
      </c>
      <c r="BN6">
        <v>20000</v>
      </c>
      <c r="BP6" s="4">
        <v>4850034.55</v>
      </c>
      <c r="BQ6">
        <v>10</v>
      </c>
      <c r="BR6">
        <v>20</v>
      </c>
      <c r="BS6">
        <v>100000001</v>
      </c>
      <c r="BT6" t="s">
        <v>90</v>
      </c>
    </row>
    <row r="7" spans="1:72" x14ac:dyDescent="0.35">
      <c r="A7" s="1">
        <v>45837</v>
      </c>
      <c r="B7" t="s">
        <v>72</v>
      </c>
      <c r="C7">
        <v>12</v>
      </c>
      <c r="D7">
        <v>100000001</v>
      </c>
      <c r="E7">
        <v>1</v>
      </c>
      <c r="F7">
        <v>1</v>
      </c>
      <c r="G7" t="s">
        <v>73</v>
      </c>
      <c r="H7" t="s">
        <v>74</v>
      </c>
      <c r="I7">
        <v>1</v>
      </c>
      <c r="J7">
        <v>163186</v>
      </c>
      <c r="K7">
        <v>91534082</v>
      </c>
      <c r="L7" t="s">
        <v>75</v>
      </c>
      <c r="M7">
        <v>1</v>
      </c>
      <c r="N7">
        <v>2</v>
      </c>
      <c r="O7">
        <v>1</v>
      </c>
      <c r="P7">
        <v>2</v>
      </c>
      <c r="Q7">
        <v>0</v>
      </c>
      <c r="R7">
        <v>0</v>
      </c>
      <c r="S7">
        <v>0</v>
      </c>
      <c r="U7" t="s">
        <v>77</v>
      </c>
      <c r="V7" t="s">
        <v>97</v>
      </c>
      <c r="W7" t="s">
        <v>97</v>
      </c>
      <c r="X7" t="s">
        <v>79</v>
      </c>
      <c r="Y7" t="s">
        <v>80</v>
      </c>
      <c r="Z7" t="s">
        <v>73</v>
      </c>
      <c r="AA7" t="s">
        <v>80</v>
      </c>
      <c r="AB7" t="s">
        <v>80</v>
      </c>
      <c r="AC7" t="s">
        <v>80</v>
      </c>
      <c r="AD7" t="s">
        <v>73</v>
      </c>
      <c r="AE7" t="s">
        <v>73</v>
      </c>
      <c r="AF7" t="s">
        <v>81</v>
      </c>
      <c r="AG7" t="b">
        <v>0</v>
      </c>
      <c r="AH7" t="s">
        <v>80</v>
      </c>
      <c r="AI7" t="s">
        <v>80</v>
      </c>
      <c r="AJ7" t="s">
        <v>82</v>
      </c>
      <c r="AL7">
        <v>1</v>
      </c>
      <c r="AM7">
        <v>1</v>
      </c>
      <c r="AN7" t="s">
        <v>98</v>
      </c>
      <c r="AO7" t="s">
        <v>99</v>
      </c>
      <c r="AP7" t="s">
        <v>85</v>
      </c>
      <c r="AQ7" s="1">
        <v>1</v>
      </c>
      <c r="AU7" t="s">
        <v>87</v>
      </c>
      <c r="AV7" t="s">
        <v>87</v>
      </c>
      <c r="AW7" t="s">
        <v>87</v>
      </c>
      <c r="AX7" t="s">
        <v>87</v>
      </c>
      <c r="AY7" t="s">
        <v>88</v>
      </c>
      <c r="AZ7">
        <v>10</v>
      </c>
      <c r="BA7" cm="1">
        <f t="array" ref="BA7">_xlfn.IFS(AND(AB7 = "N", AA7 = "N", AF7 &lt;&gt; "Concentrated", AC7 = "N",H7="MARGIN_LOAN"), 10,
AND(AB7 = "N", AA7 = "N", AF7 &lt;&gt; "Concentrated", AC7 = "N",H7="SFT"), 5,
AND(AB7 = "N", AA7 = "N", AF7 &lt;&gt; "Concentrated", AC7 = "Y",H7="MARGIN_LOAN"), 20,
AND(AB7 = "N", AA7 = "N", AF7 &lt;&gt; "Concentrated", AC7 = "Y",H7="SFT"), 10,
AND(AB7 = "Y", AA7 = "N", AF7 &lt;&gt; "Concentrated", AC7 = "N"), 20,
AND(AB7 = "Y", AA7 = "N", AF7 &lt;&gt; "Concentrated", AC7 = "Y"), 40,
AND(AB7 = "N",  OR(AA7 = "Y", AF7 = "Concentrated"), AC7 = "N"), 20,
AND(AB7 = "N",  OR(AA7 = "Y", AF7 = "Concentrated"), AC7 = "Y"), 40,
AND(AB7 = "Y",  OR(AA7 = "Y", AF7 = "Concentrated"), AC7 = "N"), 20,
AND(AB7 = "Y",  OR(AA7 = "Y", AF7 = "Concentrated"), AC7 = "Y"), 40)</f>
        <v>20</v>
      </c>
      <c r="BB7">
        <f t="shared" si="0"/>
        <v>20</v>
      </c>
      <c r="BC7">
        <f t="shared" si="1"/>
        <v>10</v>
      </c>
      <c r="BD7">
        <f t="shared" si="2"/>
        <v>10</v>
      </c>
      <c r="BE7">
        <v>10</v>
      </c>
      <c r="BF7">
        <v>1</v>
      </c>
      <c r="BG7" t="str">
        <f t="shared" si="3"/>
        <v>SCENARIO</v>
      </c>
      <c r="BH7" t="s">
        <v>89</v>
      </c>
      <c r="BI7" t="b">
        <v>1</v>
      </c>
      <c r="BJ7">
        <v>0</v>
      </c>
      <c r="BK7">
        <v>0</v>
      </c>
      <c r="BL7" t="s">
        <v>87</v>
      </c>
      <c r="BM7" t="s">
        <v>87</v>
      </c>
      <c r="BO7">
        <v>18031632.199999999</v>
      </c>
      <c r="BP7" s="4"/>
      <c r="BQ7">
        <v>0</v>
      </c>
      <c r="BR7">
        <v>0</v>
      </c>
      <c r="BS7">
        <v>100000001</v>
      </c>
      <c r="BT7" t="s">
        <v>90</v>
      </c>
    </row>
    <row r="8" spans="1:72" x14ac:dyDescent="0.35">
      <c r="A8" s="1">
        <v>45837</v>
      </c>
      <c r="B8" t="s">
        <v>72</v>
      </c>
      <c r="C8">
        <v>12</v>
      </c>
      <c r="D8">
        <v>100000001</v>
      </c>
      <c r="E8">
        <v>2</v>
      </c>
      <c r="F8">
        <v>2</v>
      </c>
      <c r="G8" t="s">
        <v>73</v>
      </c>
      <c r="H8" t="s">
        <v>74</v>
      </c>
      <c r="I8">
        <v>15</v>
      </c>
      <c r="J8">
        <v>163186</v>
      </c>
      <c r="K8">
        <v>27195684</v>
      </c>
      <c r="L8" t="s">
        <v>75</v>
      </c>
      <c r="M8">
        <v>2</v>
      </c>
      <c r="N8">
        <v>1</v>
      </c>
      <c r="O8">
        <v>1</v>
      </c>
      <c r="P8">
        <v>2</v>
      </c>
      <c r="Q8">
        <v>5</v>
      </c>
      <c r="R8">
        <v>0</v>
      </c>
      <c r="S8">
        <v>5</v>
      </c>
      <c r="T8" t="s">
        <v>76</v>
      </c>
      <c r="U8" t="s">
        <v>77</v>
      </c>
      <c r="V8" t="s">
        <v>100</v>
      </c>
      <c r="W8" t="s">
        <v>100</v>
      </c>
      <c r="X8" t="s">
        <v>79</v>
      </c>
      <c r="Y8" t="s">
        <v>80</v>
      </c>
      <c r="Z8" t="s">
        <v>73</v>
      </c>
      <c r="AA8" t="s">
        <v>80</v>
      </c>
      <c r="AB8" t="s">
        <v>80</v>
      </c>
      <c r="AC8" t="s">
        <v>80</v>
      </c>
      <c r="AD8" t="s">
        <v>73</v>
      </c>
      <c r="AE8" t="s">
        <v>73</v>
      </c>
      <c r="AF8" t="s">
        <v>81</v>
      </c>
      <c r="AG8" t="b">
        <v>0</v>
      </c>
      <c r="AH8" t="s">
        <v>73</v>
      </c>
      <c r="AI8" t="s">
        <v>80</v>
      </c>
      <c r="AJ8" t="s">
        <v>82</v>
      </c>
      <c r="AL8">
        <v>1</v>
      </c>
      <c r="AM8">
        <v>0.25</v>
      </c>
      <c r="AN8" t="s">
        <v>83</v>
      </c>
      <c r="AO8" t="s">
        <v>84</v>
      </c>
      <c r="AP8" t="s">
        <v>85</v>
      </c>
      <c r="AQ8" s="1">
        <v>1</v>
      </c>
      <c r="AS8" t="s">
        <v>87</v>
      </c>
      <c r="AT8" t="s">
        <v>87</v>
      </c>
      <c r="AV8" t="s">
        <v>87</v>
      </c>
      <c r="AW8" t="s">
        <v>87</v>
      </c>
      <c r="AY8" t="s">
        <v>88</v>
      </c>
      <c r="AZ8">
        <v>10</v>
      </c>
      <c r="BA8" cm="1">
        <f t="array" ref="BA8">_xlfn.IFS(AND(AB8 = "N", AA8 = "N", AF8 &lt;&gt; "Concentrated", AC8 = "N",H8="MARGIN_LOAN"), 10,
AND(AB8 = "N", AA8 = "N", AF8 &lt;&gt; "Concentrated", AC8 = "N",H8="SFT"), 5,
AND(AB8 = "N", AA8 = "N", AF8 &lt;&gt; "Concentrated", AC8 = "Y",H8="MARGIN_LOAN"), 20,
AND(AB8 = "N", AA8 = "N", AF8 &lt;&gt; "Concentrated", AC8 = "Y",H8="SFT"), 10,
AND(AB8 = "Y", AA8 = "N", AF8 &lt;&gt; "Concentrated", AC8 = "N"), 20,
AND(AB8 = "Y", AA8 = "N", AF8 &lt;&gt; "Concentrated", AC8 = "Y"), 40,
AND(AB8 = "N",  OR(AA8 = "Y", AF8 = "Concentrated"), AC8 = "N"), 20,
AND(AB8 = "N",  OR(AA8 = "Y", AF8 = "Concentrated"), AC8 = "Y"), 40,
AND(AB8 = "Y",  OR(AA8 = "Y", AF8 = "Concentrated"), AC8 = "N"), 20,
AND(AB8 = "Y",  OR(AA8 = "Y", AF8 = "Concentrated"), AC8 = "Y"), 40)</f>
        <v>20</v>
      </c>
      <c r="BB8">
        <f t="shared" si="0"/>
        <v>20</v>
      </c>
      <c r="BC8">
        <f t="shared" si="1"/>
        <v>10</v>
      </c>
      <c r="BD8">
        <f t="shared" si="2"/>
        <v>10</v>
      </c>
      <c r="BE8">
        <v>10</v>
      </c>
      <c r="BF8">
        <v>1</v>
      </c>
      <c r="BG8" t="str">
        <f t="shared" si="3"/>
        <v>SCENARIO</v>
      </c>
      <c r="BH8" t="s">
        <v>89</v>
      </c>
      <c r="BI8" t="b">
        <v>1</v>
      </c>
      <c r="BJ8">
        <v>1</v>
      </c>
      <c r="BK8">
        <v>1</v>
      </c>
      <c r="BM8" t="s">
        <v>87</v>
      </c>
      <c r="BN8">
        <v>50000</v>
      </c>
      <c r="BP8" s="4">
        <v>12396987.9</v>
      </c>
      <c r="BQ8">
        <v>10</v>
      </c>
      <c r="BR8">
        <v>20</v>
      </c>
      <c r="BS8">
        <v>100000002</v>
      </c>
      <c r="BT8" t="s">
        <v>101</v>
      </c>
    </row>
    <row r="9" spans="1:72" x14ac:dyDescent="0.35">
      <c r="A9" s="1">
        <v>45837</v>
      </c>
      <c r="B9" t="s">
        <v>72</v>
      </c>
      <c r="C9">
        <v>12</v>
      </c>
      <c r="D9">
        <v>100000001</v>
      </c>
      <c r="E9">
        <v>2</v>
      </c>
      <c r="F9">
        <v>2</v>
      </c>
      <c r="G9" t="s">
        <v>73</v>
      </c>
      <c r="H9" t="s">
        <v>74</v>
      </c>
      <c r="I9">
        <v>15</v>
      </c>
      <c r="J9">
        <v>163186</v>
      </c>
      <c r="K9">
        <v>60317825</v>
      </c>
      <c r="L9" t="s">
        <v>75</v>
      </c>
      <c r="M9">
        <v>2</v>
      </c>
      <c r="N9">
        <v>1</v>
      </c>
      <c r="O9">
        <v>1</v>
      </c>
      <c r="P9">
        <v>2</v>
      </c>
      <c r="Q9">
        <v>5</v>
      </c>
      <c r="R9">
        <v>0</v>
      </c>
      <c r="S9">
        <v>5</v>
      </c>
      <c r="T9" t="s">
        <v>76</v>
      </c>
      <c r="U9" t="s">
        <v>77</v>
      </c>
      <c r="V9" t="s">
        <v>102</v>
      </c>
      <c r="W9" t="s">
        <v>102</v>
      </c>
      <c r="X9" t="s">
        <v>79</v>
      </c>
      <c r="Y9" t="s">
        <v>80</v>
      </c>
      <c r="Z9" t="s">
        <v>73</v>
      </c>
      <c r="AA9" t="s">
        <v>80</v>
      </c>
      <c r="AB9" t="s">
        <v>80</v>
      </c>
      <c r="AC9" t="s">
        <v>80</v>
      </c>
      <c r="AD9" t="s">
        <v>73</v>
      </c>
      <c r="AE9" t="s">
        <v>73</v>
      </c>
      <c r="AF9" t="s">
        <v>81</v>
      </c>
      <c r="AG9" t="b">
        <v>0</v>
      </c>
      <c r="AH9" t="s">
        <v>73</v>
      </c>
      <c r="AI9" t="s">
        <v>80</v>
      </c>
      <c r="AJ9" t="s">
        <v>82</v>
      </c>
      <c r="AL9">
        <v>1</v>
      </c>
      <c r="AM9">
        <v>0.15</v>
      </c>
      <c r="AN9" t="s">
        <v>83</v>
      </c>
      <c r="AO9" t="s">
        <v>84</v>
      </c>
      <c r="AP9" t="s">
        <v>85</v>
      </c>
      <c r="AQ9" s="1">
        <v>1</v>
      </c>
      <c r="AS9" t="s">
        <v>87</v>
      </c>
      <c r="AT9" t="s">
        <v>87</v>
      </c>
      <c r="AV9" t="s">
        <v>87</v>
      </c>
      <c r="AW9" t="s">
        <v>87</v>
      </c>
      <c r="AY9" t="s">
        <v>88</v>
      </c>
      <c r="AZ9">
        <v>10</v>
      </c>
      <c r="BA9" cm="1">
        <f t="array" ref="BA9">_xlfn.IFS(AND(AB9 = "N", AA9 = "N", AF9 &lt;&gt; "Concentrated", AC9 = "N",H9="MARGIN_LOAN"), 10,
AND(AB9 = "N", AA9 = "N", AF9 &lt;&gt; "Concentrated", AC9 = "N",H9="SFT"), 5,
AND(AB9 = "N", AA9 = "N", AF9 &lt;&gt; "Concentrated", AC9 = "Y",H9="MARGIN_LOAN"), 20,
AND(AB9 = "N", AA9 = "N", AF9 &lt;&gt; "Concentrated", AC9 = "Y",H9="SFT"), 10,
AND(AB9 = "Y", AA9 = "N", AF9 &lt;&gt; "Concentrated", AC9 = "N"), 20,
AND(AB9 = "Y", AA9 = "N", AF9 &lt;&gt; "Concentrated", AC9 = "Y"), 40,
AND(AB9 = "N",  OR(AA9 = "Y", AF9 = "Concentrated"), AC9 = "N"), 20,
AND(AB9 = "N",  OR(AA9 = "Y", AF9 = "Concentrated"), AC9 = "Y"), 40,
AND(AB9 = "Y",  OR(AA9 = "Y", AF9 = "Concentrated"), AC9 = "N"), 20,
AND(AB9 = "Y",  OR(AA9 = "Y", AF9 = "Concentrated"), AC9 = "Y"), 40)</f>
        <v>20</v>
      </c>
      <c r="BB9">
        <f t="shared" si="0"/>
        <v>20</v>
      </c>
      <c r="BC9">
        <f t="shared" si="1"/>
        <v>10</v>
      </c>
      <c r="BD9">
        <f t="shared" si="2"/>
        <v>10</v>
      </c>
      <c r="BE9">
        <v>10</v>
      </c>
      <c r="BF9">
        <v>1</v>
      </c>
      <c r="BG9" t="str">
        <f t="shared" si="3"/>
        <v>SCENARIO</v>
      </c>
      <c r="BH9" t="s">
        <v>89</v>
      </c>
      <c r="BI9" t="b">
        <v>1</v>
      </c>
      <c r="BJ9">
        <v>1</v>
      </c>
      <c r="BK9">
        <v>1</v>
      </c>
      <c r="BM9" t="s">
        <v>87</v>
      </c>
      <c r="BN9">
        <v>119912</v>
      </c>
      <c r="BP9" s="4">
        <v>11103288</v>
      </c>
      <c r="BQ9">
        <v>10</v>
      </c>
      <c r="BR9">
        <v>20</v>
      </c>
      <c r="BS9">
        <v>100000002</v>
      </c>
      <c r="BT9" t="s">
        <v>101</v>
      </c>
    </row>
    <row r="10" spans="1:72" x14ac:dyDescent="0.35">
      <c r="A10" s="1">
        <v>45837</v>
      </c>
      <c r="B10" t="s">
        <v>72</v>
      </c>
      <c r="C10">
        <v>12</v>
      </c>
      <c r="D10">
        <v>100000001</v>
      </c>
      <c r="E10">
        <v>2</v>
      </c>
      <c r="F10">
        <v>2</v>
      </c>
      <c r="G10" t="s">
        <v>73</v>
      </c>
      <c r="H10" t="s">
        <v>74</v>
      </c>
      <c r="I10">
        <v>15</v>
      </c>
      <c r="J10">
        <v>163186</v>
      </c>
      <c r="K10">
        <v>84051763</v>
      </c>
      <c r="L10" t="s">
        <v>75</v>
      </c>
      <c r="M10">
        <v>2</v>
      </c>
      <c r="N10">
        <v>1</v>
      </c>
      <c r="O10">
        <v>1</v>
      </c>
      <c r="P10">
        <v>2</v>
      </c>
      <c r="Q10">
        <v>5</v>
      </c>
      <c r="R10">
        <v>0</v>
      </c>
      <c r="S10">
        <v>5</v>
      </c>
      <c r="T10" t="s">
        <v>76</v>
      </c>
      <c r="U10" t="s">
        <v>77</v>
      </c>
      <c r="V10" t="s">
        <v>103</v>
      </c>
      <c r="W10" t="s">
        <v>103</v>
      </c>
      <c r="X10" t="s">
        <v>79</v>
      </c>
      <c r="Y10" t="s">
        <v>80</v>
      </c>
      <c r="Z10" t="s">
        <v>73</v>
      </c>
      <c r="AA10" t="s">
        <v>80</v>
      </c>
      <c r="AB10" t="s">
        <v>80</v>
      </c>
      <c r="AC10" t="s">
        <v>80</v>
      </c>
      <c r="AD10" t="s">
        <v>73</v>
      </c>
      <c r="AE10" t="s">
        <v>73</v>
      </c>
      <c r="AF10" t="s">
        <v>81</v>
      </c>
      <c r="AG10" t="b">
        <v>0</v>
      </c>
      <c r="AH10" t="s">
        <v>73</v>
      </c>
      <c r="AI10" t="s">
        <v>80</v>
      </c>
      <c r="AJ10" t="s">
        <v>82</v>
      </c>
      <c r="AK10" t="s">
        <v>93</v>
      </c>
      <c r="AL10">
        <v>1</v>
      </c>
      <c r="AM10">
        <v>0.15</v>
      </c>
      <c r="AN10" t="s">
        <v>83</v>
      </c>
      <c r="AO10" t="s">
        <v>84</v>
      </c>
      <c r="AP10" t="s">
        <v>85</v>
      </c>
      <c r="AQ10" s="1">
        <v>1</v>
      </c>
      <c r="AS10" t="s">
        <v>87</v>
      </c>
      <c r="AT10" t="s">
        <v>87</v>
      </c>
      <c r="AV10" t="s">
        <v>87</v>
      </c>
      <c r="AW10" t="s">
        <v>87</v>
      </c>
      <c r="AY10" t="s">
        <v>94</v>
      </c>
      <c r="AZ10">
        <v>10</v>
      </c>
      <c r="BA10" cm="1">
        <f t="array" ref="BA10">_xlfn.IFS(AND(AB10 = "N", AA10 = "N", AF10 &lt;&gt; "Concentrated", AC10 = "N",H10="MARGIN_LOAN"), 10,
AND(AB10 = "N", AA10 = "N", AF10 &lt;&gt; "Concentrated", AC10 = "N",H10="SFT"), 5,
AND(AB10 = "N", AA10 = "N", AF10 &lt;&gt; "Concentrated", AC10 = "Y",H10="MARGIN_LOAN"), 20,
AND(AB10 = "N", AA10 = "N", AF10 &lt;&gt; "Concentrated", AC10 = "Y",H10="SFT"), 10,
AND(AB10 = "Y", AA10 = "N", AF10 &lt;&gt; "Concentrated", AC10 = "N"), 20,
AND(AB10 = "Y", AA10 = "N", AF10 &lt;&gt; "Concentrated", AC10 = "Y"), 40,
AND(AB10 = "N",  OR(AA10 = "Y", AF10 = "Concentrated"), AC10 = "N"), 20,
AND(AB10 = "N",  OR(AA10 = "Y", AF10 = "Concentrated"), AC10 = "Y"), 40,
AND(AB10 = "Y",  OR(AA10 = "Y", AF10 = "Concentrated"), AC10 = "N"), 20,
AND(AB10 = "Y",  OR(AA10 = "Y", AF10 = "Concentrated"), AC10 = "Y"), 40)</f>
        <v>20</v>
      </c>
      <c r="BB10">
        <f t="shared" si="0"/>
        <v>20</v>
      </c>
      <c r="BC10">
        <f t="shared" si="1"/>
        <v>10</v>
      </c>
      <c r="BD10">
        <f t="shared" si="2"/>
        <v>10</v>
      </c>
      <c r="BE10">
        <v>10</v>
      </c>
      <c r="BF10">
        <v>1</v>
      </c>
      <c r="BG10" t="str">
        <f t="shared" si="3"/>
        <v>SCENARIO</v>
      </c>
      <c r="BH10" t="s">
        <v>89</v>
      </c>
      <c r="BI10" t="b">
        <v>1</v>
      </c>
      <c r="BJ10">
        <v>1</v>
      </c>
      <c r="BK10">
        <v>1</v>
      </c>
      <c r="BL10" t="s">
        <v>87</v>
      </c>
      <c r="BN10">
        <v>129819</v>
      </c>
      <c r="BP10" s="4">
        <v>15094847.359999999</v>
      </c>
      <c r="BQ10">
        <v>10</v>
      </c>
      <c r="BR10">
        <v>20</v>
      </c>
      <c r="BS10">
        <v>100000002</v>
      </c>
      <c r="BT10" t="s">
        <v>101</v>
      </c>
    </row>
    <row r="11" spans="1:72" x14ac:dyDescent="0.35">
      <c r="A11" s="1">
        <v>45837</v>
      </c>
      <c r="B11" t="s">
        <v>72</v>
      </c>
      <c r="C11">
        <v>12</v>
      </c>
      <c r="D11">
        <v>100000001</v>
      </c>
      <c r="E11">
        <v>2</v>
      </c>
      <c r="F11">
        <v>2</v>
      </c>
      <c r="G11" t="s">
        <v>73</v>
      </c>
      <c r="H11" t="s">
        <v>74</v>
      </c>
      <c r="I11">
        <v>15</v>
      </c>
      <c r="J11">
        <v>163186</v>
      </c>
      <c r="K11">
        <v>35946217</v>
      </c>
      <c r="L11" t="s">
        <v>75</v>
      </c>
      <c r="M11">
        <v>2</v>
      </c>
      <c r="N11">
        <v>1</v>
      </c>
      <c r="O11">
        <v>1</v>
      </c>
      <c r="P11">
        <v>2</v>
      </c>
      <c r="Q11">
        <v>5</v>
      </c>
      <c r="R11">
        <v>0</v>
      </c>
      <c r="S11">
        <v>5</v>
      </c>
      <c r="T11" t="s">
        <v>76</v>
      </c>
      <c r="U11" t="s">
        <v>77</v>
      </c>
      <c r="V11" t="s">
        <v>104</v>
      </c>
      <c r="W11" t="s">
        <v>104</v>
      </c>
      <c r="X11" t="s">
        <v>79</v>
      </c>
      <c r="Y11" t="s">
        <v>80</v>
      </c>
      <c r="Z11" t="s">
        <v>73</v>
      </c>
      <c r="AA11" t="s">
        <v>80</v>
      </c>
      <c r="AB11" t="s">
        <v>80</v>
      </c>
      <c r="AC11" t="s">
        <v>80</v>
      </c>
      <c r="AD11" t="s">
        <v>73</v>
      </c>
      <c r="AE11" t="s">
        <v>73</v>
      </c>
      <c r="AF11" t="s">
        <v>81</v>
      </c>
      <c r="AG11" t="b">
        <v>0</v>
      </c>
      <c r="AH11" t="s">
        <v>73</v>
      </c>
      <c r="AI11" t="s">
        <v>80</v>
      </c>
      <c r="AJ11" t="s">
        <v>82</v>
      </c>
      <c r="AL11">
        <v>1</v>
      </c>
      <c r="AM11">
        <v>0.25</v>
      </c>
      <c r="AN11" t="s">
        <v>83</v>
      </c>
      <c r="AO11" t="s">
        <v>84</v>
      </c>
      <c r="AP11" t="s">
        <v>85</v>
      </c>
      <c r="AQ11" s="1">
        <v>1</v>
      </c>
      <c r="AS11" t="s">
        <v>87</v>
      </c>
      <c r="AT11" t="s">
        <v>87</v>
      </c>
      <c r="AV11" t="s">
        <v>87</v>
      </c>
      <c r="AW11" t="s">
        <v>87</v>
      </c>
      <c r="AY11" t="s">
        <v>94</v>
      </c>
      <c r="AZ11">
        <v>10</v>
      </c>
      <c r="BA11" cm="1">
        <f t="array" ref="BA11">_xlfn.IFS(AND(AB11 = "N", AA11 = "N", AF11 &lt;&gt; "Concentrated", AC11 = "N",H11="MARGIN_LOAN"), 10,
AND(AB11 = "N", AA11 = "N", AF11 &lt;&gt; "Concentrated", AC11 = "N",H11="SFT"), 5,
AND(AB11 = "N", AA11 = "N", AF11 &lt;&gt; "Concentrated", AC11 = "Y",H11="MARGIN_LOAN"), 20,
AND(AB11 = "N", AA11 = "N", AF11 &lt;&gt; "Concentrated", AC11 = "Y",H11="SFT"), 10,
AND(AB11 = "Y", AA11 = "N", AF11 &lt;&gt; "Concentrated", AC11 = "N"), 20,
AND(AB11 = "Y", AA11 = "N", AF11 &lt;&gt; "Concentrated", AC11 = "Y"), 40,
AND(AB11 = "N",  OR(AA11 = "Y", AF11 = "Concentrated"), AC11 = "N"), 20,
AND(AB11 = "N",  OR(AA11 = "Y", AF11 = "Concentrated"), AC11 = "Y"), 40,
AND(AB11 = "Y",  OR(AA11 = "Y", AF11 = "Concentrated"), AC11 = "N"), 20,
AND(AB11 = "Y",  OR(AA11 = "Y", AF11 = "Concentrated"), AC11 = "Y"), 40)</f>
        <v>20</v>
      </c>
      <c r="BB11">
        <f t="shared" si="0"/>
        <v>20</v>
      </c>
      <c r="BC11">
        <f t="shared" si="1"/>
        <v>10</v>
      </c>
      <c r="BD11">
        <f t="shared" si="2"/>
        <v>10</v>
      </c>
      <c r="BE11">
        <v>10</v>
      </c>
      <c r="BF11">
        <v>1</v>
      </c>
      <c r="BG11" t="str">
        <f t="shared" si="3"/>
        <v>SCENARIO</v>
      </c>
      <c r="BH11" t="s">
        <v>89</v>
      </c>
      <c r="BI11" t="b">
        <v>1</v>
      </c>
      <c r="BJ11">
        <v>1</v>
      </c>
      <c r="BK11">
        <v>1</v>
      </c>
      <c r="BL11" t="s">
        <v>87</v>
      </c>
      <c r="BN11">
        <v>21124</v>
      </c>
      <c r="BP11" s="4">
        <v>5849007.2999999998</v>
      </c>
      <c r="BQ11">
        <v>10</v>
      </c>
      <c r="BR11">
        <v>20</v>
      </c>
      <c r="BS11">
        <v>100000002</v>
      </c>
      <c r="BT11" t="s">
        <v>101</v>
      </c>
    </row>
    <row r="12" spans="1:72" x14ac:dyDescent="0.35">
      <c r="A12" s="1">
        <v>45837</v>
      </c>
      <c r="B12" t="s">
        <v>72</v>
      </c>
      <c r="C12">
        <v>12</v>
      </c>
      <c r="D12">
        <v>100000001</v>
      </c>
      <c r="E12">
        <v>2</v>
      </c>
      <c r="F12">
        <v>2</v>
      </c>
      <c r="G12" t="s">
        <v>73</v>
      </c>
      <c r="H12" t="s">
        <v>74</v>
      </c>
      <c r="I12">
        <v>15</v>
      </c>
      <c r="J12">
        <v>163186</v>
      </c>
      <c r="K12">
        <v>74268109</v>
      </c>
      <c r="L12" t="s">
        <v>75</v>
      </c>
      <c r="M12">
        <v>2</v>
      </c>
      <c r="N12">
        <v>1</v>
      </c>
      <c r="O12">
        <v>1</v>
      </c>
      <c r="P12">
        <v>2</v>
      </c>
      <c r="Q12">
        <v>5</v>
      </c>
      <c r="R12">
        <v>0</v>
      </c>
      <c r="S12">
        <v>5</v>
      </c>
      <c r="U12" t="s">
        <v>77</v>
      </c>
      <c r="V12" t="s">
        <v>105</v>
      </c>
      <c r="W12" t="s">
        <v>105</v>
      </c>
      <c r="X12" t="s">
        <v>79</v>
      </c>
      <c r="Y12" t="s">
        <v>80</v>
      </c>
      <c r="Z12" t="s">
        <v>73</v>
      </c>
      <c r="AA12" t="s">
        <v>80</v>
      </c>
      <c r="AB12" t="s">
        <v>80</v>
      </c>
      <c r="AC12" t="s">
        <v>80</v>
      </c>
      <c r="AD12" t="s">
        <v>73</v>
      </c>
      <c r="AE12" t="s">
        <v>73</v>
      </c>
      <c r="AF12" t="s">
        <v>81</v>
      </c>
      <c r="AG12" t="b">
        <v>0</v>
      </c>
      <c r="AH12" t="s">
        <v>80</v>
      </c>
      <c r="AI12" t="s">
        <v>80</v>
      </c>
      <c r="AJ12" t="s">
        <v>82</v>
      </c>
      <c r="AL12">
        <v>1</v>
      </c>
      <c r="AM12">
        <v>0.25</v>
      </c>
      <c r="AN12" t="s">
        <v>83</v>
      </c>
      <c r="AO12" t="s">
        <v>84</v>
      </c>
      <c r="AP12" t="s">
        <v>85</v>
      </c>
      <c r="AQ12" s="1">
        <v>1</v>
      </c>
      <c r="AS12" t="s">
        <v>87</v>
      </c>
      <c r="AT12" t="s">
        <v>87</v>
      </c>
      <c r="AV12" t="s">
        <v>87</v>
      </c>
      <c r="AW12" t="s">
        <v>87</v>
      </c>
      <c r="AY12" t="s">
        <v>88</v>
      </c>
      <c r="AZ12">
        <v>10</v>
      </c>
      <c r="BA12" cm="1">
        <f t="array" ref="BA12">_xlfn.IFS(AND(AB12 = "N", AA12 = "N", AF12 &lt;&gt; "Concentrated", AC12 = "N",H12="MARGIN_LOAN"), 10,
AND(AB12 = "N", AA12 = "N", AF12 &lt;&gt; "Concentrated", AC12 = "N",H12="SFT"), 5,
AND(AB12 = "N", AA12 = "N", AF12 &lt;&gt; "Concentrated", AC12 = "Y",H12="MARGIN_LOAN"), 20,
AND(AB12 = "N", AA12 = "N", AF12 &lt;&gt; "Concentrated", AC12 = "Y",H12="SFT"), 10,
AND(AB12 = "Y", AA12 = "N", AF12 &lt;&gt; "Concentrated", AC12 = "N"), 20,
AND(AB12 = "Y", AA12 = "N", AF12 &lt;&gt; "Concentrated", AC12 = "Y"), 40,
AND(AB12 = "N",  OR(AA12 = "Y", AF12 = "Concentrated"), AC12 = "N"), 20,
AND(AB12 = "N",  OR(AA12 = "Y", AF12 = "Concentrated"), AC12 = "Y"), 40,
AND(AB12 = "Y",  OR(AA12 = "Y", AF12 = "Concentrated"), AC12 = "N"), 20,
AND(AB12 = "Y",  OR(AA12 = "Y", AF12 = "Concentrated"), AC12 = "Y"), 40)</f>
        <v>20</v>
      </c>
      <c r="BB12">
        <f t="shared" si="0"/>
        <v>20</v>
      </c>
      <c r="BC12">
        <f t="shared" si="1"/>
        <v>10</v>
      </c>
      <c r="BD12">
        <f t="shared" si="2"/>
        <v>10</v>
      </c>
      <c r="BE12">
        <v>10</v>
      </c>
      <c r="BF12">
        <v>1</v>
      </c>
      <c r="BG12" t="str">
        <f t="shared" si="3"/>
        <v>SCENARIO</v>
      </c>
      <c r="BH12" t="s">
        <v>89</v>
      </c>
      <c r="BI12" t="b">
        <v>1</v>
      </c>
      <c r="BJ12">
        <v>1</v>
      </c>
      <c r="BK12">
        <v>1</v>
      </c>
      <c r="BM12" t="s">
        <v>87</v>
      </c>
      <c r="BN12">
        <v>15332</v>
      </c>
      <c r="BP12" s="4">
        <v>791811000.29999995</v>
      </c>
      <c r="BQ12">
        <v>0</v>
      </c>
      <c r="BR12">
        <v>0</v>
      </c>
      <c r="BS12">
        <v>100000002</v>
      </c>
      <c r="BT12" t="s">
        <v>101</v>
      </c>
    </row>
    <row r="13" spans="1:72" x14ac:dyDescent="0.35">
      <c r="A13" s="1">
        <v>45837</v>
      </c>
      <c r="B13" t="s">
        <v>72</v>
      </c>
      <c r="C13">
        <v>12</v>
      </c>
      <c r="D13">
        <v>100000001</v>
      </c>
      <c r="E13">
        <v>2</v>
      </c>
      <c r="F13">
        <v>2</v>
      </c>
      <c r="G13" t="s">
        <v>73</v>
      </c>
      <c r="H13" t="s">
        <v>74</v>
      </c>
      <c r="I13">
        <v>15</v>
      </c>
      <c r="J13">
        <v>163186</v>
      </c>
      <c r="K13">
        <v>10835642</v>
      </c>
      <c r="L13" t="s">
        <v>75</v>
      </c>
      <c r="M13">
        <v>2</v>
      </c>
      <c r="N13">
        <v>1</v>
      </c>
      <c r="O13">
        <v>1</v>
      </c>
      <c r="P13">
        <v>2</v>
      </c>
      <c r="Q13">
        <v>5</v>
      </c>
      <c r="R13">
        <v>0</v>
      </c>
      <c r="S13">
        <v>5</v>
      </c>
      <c r="T13" t="s">
        <v>76</v>
      </c>
      <c r="U13" t="s">
        <v>77</v>
      </c>
      <c r="V13" t="s">
        <v>106</v>
      </c>
      <c r="W13" t="s">
        <v>106</v>
      </c>
      <c r="X13" t="s">
        <v>79</v>
      </c>
      <c r="Y13" t="s">
        <v>80</v>
      </c>
      <c r="Z13" t="s">
        <v>73</v>
      </c>
      <c r="AA13" t="s">
        <v>80</v>
      </c>
      <c r="AB13" t="s">
        <v>80</v>
      </c>
      <c r="AC13" t="s">
        <v>80</v>
      </c>
      <c r="AD13" t="s">
        <v>73</v>
      </c>
      <c r="AE13" t="s">
        <v>73</v>
      </c>
      <c r="AF13" t="s">
        <v>81</v>
      </c>
      <c r="AG13" t="b">
        <v>0</v>
      </c>
      <c r="AH13" t="s">
        <v>73</v>
      </c>
      <c r="AI13" t="s">
        <v>80</v>
      </c>
      <c r="AJ13" t="s">
        <v>82</v>
      </c>
      <c r="AL13">
        <v>1</v>
      </c>
      <c r="AM13">
        <v>0.15</v>
      </c>
      <c r="AN13" t="s">
        <v>83</v>
      </c>
      <c r="AO13" t="s">
        <v>84</v>
      </c>
      <c r="AP13" t="s">
        <v>85</v>
      </c>
      <c r="AQ13" s="1">
        <v>1</v>
      </c>
      <c r="AS13" t="s">
        <v>87</v>
      </c>
      <c r="AT13" t="s">
        <v>87</v>
      </c>
      <c r="AV13" t="s">
        <v>87</v>
      </c>
      <c r="AW13" t="s">
        <v>87</v>
      </c>
      <c r="AY13" t="s">
        <v>94</v>
      </c>
      <c r="AZ13">
        <v>10</v>
      </c>
      <c r="BA13" cm="1">
        <f t="array" ref="BA13">_xlfn.IFS(AND(AB13 = "N", AA13 = "N", AF13 &lt;&gt; "Concentrated", AC13 = "N",H13="MARGIN_LOAN"), 10,
AND(AB13 = "N", AA13 = "N", AF13 &lt;&gt; "Concentrated", AC13 = "N",H13="SFT"), 5,
AND(AB13 = "N", AA13 = "N", AF13 &lt;&gt; "Concentrated", AC13 = "Y",H13="MARGIN_LOAN"), 20,
AND(AB13 = "N", AA13 = "N", AF13 &lt;&gt; "Concentrated", AC13 = "Y",H13="SFT"), 10,
AND(AB13 = "Y", AA13 = "N", AF13 &lt;&gt; "Concentrated", AC13 = "N"), 20,
AND(AB13 = "Y", AA13 = "N", AF13 &lt;&gt; "Concentrated", AC13 = "Y"), 40,
AND(AB13 = "N",  OR(AA13 = "Y", AF13 = "Concentrated"), AC13 = "N"), 20,
AND(AB13 = "N",  OR(AA13 = "Y", AF13 = "Concentrated"), AC13 = "Y"), 40,
AND(AB13 = "Y",  OR(AA13 = "Y", AF13 = "Concentrated"), AC13 = "N"), 20,
AND(AB13 = "Y",  OR(AA13 = "Y", AF13 = "Concentrated"), AC13 = "Y"), 40)</f>
        <v>20</v>
      </c>
      <c r="BB13">
        <f t="shared" si="0"/>
        <v>20</v>
      </c>
      <c r="BC13">
        <f t="shared" si="1"/>
        <v>10</v>
      </c>
      <c r="BD13">
        <f t="shared" si="2"/>
        <v>10</v>
      </c>
      <c r="BE13">
        <v>10</v>
      </c>
      <c r="BF13">
        <v>1</v>
      </c>
      <c r="BG13" t="str">
        <f t="shared" si="3"/>
        <v>SCENARIO</v>
      </c>
      <c r="BH13" t="s">
        <v>89</v>
      </c>
      <c r="BI13" t="b">
        <v>1</v>
      </c>
      <c r="BJ13">
        <v>1</v>
      </c>
      <c r="BK13">
        <v>1</v>
      </c>
      <c r="BL13" t="s">
        <v>87</v>
      </c>
      <c r="BN13">
        <v>41242</v>
      </c>
      <c r="BP13" s="4">
        <v>3764749</v>
      </c>
      <c r="BQ13">
        <v>10</v>
      </c>
      <c r="BR13">
        <v>20</v>
      </c>
      <c r="BS13">
        <v>100000002</v>
      </c>
      <c r="BT13" t="s">
        <v>101</v>
      </c>
    </row>
    <row r="14" spans="1:72" x14ac:dyDescent="0.35">
      <c r="A14" s="1">
        <v>45837</v>
      </c>
      <c r="B14" t="s">
        <v>72</v>
      </c>
      <c r="C14">
        <v>12</v>
      </c>
      <c r="D14">
        <v>100000001</v>
      </c>
      <c r="E14">
        <v>2</v>
      </c>
      <c r="F14">
        <v>2</v>
      </c>
      <c r="G14" t="s">
        <v>73</v>
      </c>
      <c r="H14" t="s">
        <v>74</v>
      </c>
      <c r="I14">
        <v>15</v>
      </c>
      <c r="J14">
        <v>163186</v>
      </c>
      <c r="K14">
        <v>56721483</v>
      </c>
      <c r="L14" t="s">
        <v>75</v>
      </c>
      <c r="M14">
        <v>2</v>
      </c>
      <c r="N14">
        <v>1</v>
      </c>
      <c r="O14">
        <v>1</v>
      </c>
      <c r="P14">
        <v>2</v>
      </c>
      <c r="Q14">
        <v>5</v>
      </c>
      <c r="R14">
        <v>0</v>
      </c>
      <c r="S14">
        <v>5</v>
      </c>
      <c r="T14" t="s">
        <v>76</v>
      </c>
      <c r="U14" t="s">
        <v>77</v>
      </c>
      <c r="V14" t="s">
        <v>107</v>
      </c>
      <c r="W14" t="s">
        <v>107</v>
      </c>
      <c r="X14" t="s">
        <v>79</v>
      </c>
      <c r="Y14" t="s">
        <v>80</v>
      </c>
      <c r="Z14" t="s">
        <v>73</v>
      </c>
      <c r="AA14" t="s">
        <v>80</v>
      </c>
      <c r="AB14" t="s">
        <v>80</v>
      </c>
      <c r="AC14" t="s">
        <v>80</v>
      </c>
      <c r="AD14" t="s">
        <v>73</v>
      </c>
      <c r="AE14" t="s">
        <v>73</v>
      </c>
      <c r="AF14" t="s">
        <v>81</v>
      </c>
      <c r="AG14" t="b">
        <v>0</v>
      </c>
      <c r="AH14" t="s">
        <v>73</v>
      </c>
      <c r="AI14" t="s">
        <v>80</v>
      </c>
      <c r="AJ14" t="s">
        <v>82</v>
      </c>
      <c r="AL14">
        <v>1</v>
      </c>
      <c r="AM14">
        <v>0.15</v>
      </c>
      <c r="AN14" t="s">
        <v>83</v>
      </c>
      <c r="AO14" t="s">
        <v>84</v>
      </c>
      <c r="AP14" t="s">
        <v>85</v>
      </c>
      <c r="AQ14" s="1">
        <v>1</v>
      </c>
      <c r="AS14" t="s">
        <v>108</v>
      </c>
      <c r="AT14" t="s">
        <v>108</v>
      </c>
      <c r="AV14" t="s">
        <v>108</v>
      </c>
      <c r="AW14" t="s">
        <v>87</v>
      </c>
      <c r="AY14" t="s">
        <v>94</v>
      </c>
      <c r="AZ14">
        <v>10</v>
      </c>
      <c r="BA14" cm="1">
        <f t="array" ref="BA14">_xlfn.IFS(AND(AB14 = "N", AA14 = "N", AF14 &lt;&gt; "Concentrated", AC14 = "N",H14="MARGIN_LOAN"), 10,
AND(AB14 = "N", AA14 = "N", AF14 &lt;&gt; "Concentrated", AC14 = "N",H14="SFT"), 5,
AND(AB14 = "N", AA14 = "N", AF14 &lt;&gt; "Concentrated", AC14 = "Y",H14="MARGIN_LOAN"), 20,
AND(AB14 = "N", AA14 = "N", AF14 &lt;&gt; "Concentrated", AC14 = "Y",H14="SFT"), 10,
AND(AB14 = "Y", AA14 = "N", AF14 &lt;&gt; "Concentrated", AC14 = "N"), 20,
AND(AB14 = "Y", AA14 = "N", AF14 &lt;&gt; "Concentrated", AC14 = "Y"), 40,
AND(AB14 = "N",  OR(AA14 = "Y", AF14 = "Concentrated"), AC14 = "N"), 20,
AND(AB14 = "N",  OR(AA14 = "Y", AF14 = "Concentrated"), AC14 = "Y"), 40,
AND(AB14 = "Y",  OR(AA14 = "Y", AF14 = "Concentrated"), AC14 = "N"), 20,
AND(AB14 = "Y",  OR(AA14 = "Y", AF14 = "Concentrated"), AC14 = "Y"), 40)</f>
        <v>20</v>
      </c>
      <c r="BB14">
        <f t="shared" si="0"/>
        <v>20</v>
      </c>
      <c r="BC14">
        <f t="shared" si="1"/>
        <v>10</v>
      </c>
      <c r="BD14">
        <f t="shared" si="2"/>
        <v>10</v>
      </c>
      <c r="BE14">
        <v>10</v>
      </c>
      <c r="BF14">
        <v>1</v>
      </c>
      <c r="BG14" t="str">
        <f t="shared" si="3"/>
        <v>SCENARIO</v>
      </c>
      <c r="BH14" t="s">
        <v>89</v>
      </c>
      <c r="BI14" t="b">
        <v>1</v>
      </c>
      <c r="BJ14">
        <v>1</v>
      </c>
      <c r="BK14">
        <v>1</v>
      </c>
      <c r="BL14" t="s">
        <v>108</v>
      </c>
      <c r="BN14">
        <v>219839</v>
      </c>
      <c r="BP14" s="4">
        <v>22813134.66</v>
      </c>
      <c r="BQ14">
        <v>10</v>
      </c>
      <c r="BR14">
        <v>20</v>
      </c>
      <c r="BS14">
        <v>100000002</v>
      </c>
      <c r="BT14" t="s">
        <v>101</v>
      </c>
    </row>
    <row r="15" spans="1:72" x14ac:dyDescent="0.35">
      <c r="A15" s="1">
        <v>45837</v>
      </c>
      <c r="B15" t="s">
        <v>72</v>
      </c>
      <c r="C15">
        <v>12</v>
      </c>
      <c r="D15">
        <v>100000001</v>
      </c>
      <c r="E15">
        <v>3</v>
      </c>
      <c r="F15">
        <v>3</v>
      </c>
      <c r="G15" t="s">
        <v>73</v>
      </c>
      <c r="H15" t="s">
        <v>74</v>
      </c>
      <c r="I15">
        <v>15</v>
      </c>
      <c r="J15">
        <v>163186</v>
      </c>
      <c r="K15">
        <v>62084915</v>
      </c>
      <c r="L15" t="s">
        <v>75</v>
      </c>
      <c r="M15">
        <v>1</v>
      </c>
      <c r="N15">
        <v>2</v>
      </c>
      <c r="O15">
        <v>1</v>
      </c>
      <c r="P15">
        <v>2</v>
      </c>
      <c r="Q15">
        <v>5</v>
      </c>
      <c r="R15">
        <v>0</v>
      </c>
      <c r="S15">
        <v>5</v>
      </c>
      <c r="T15" t="s">
        <v>76</v>
      </c>
      <c r="U15" t="s">
        <v>77</v>
      </c>
      <c r="V15" t="s">
        <v>109</v>
      </c>
      <c r="W15" t="s">
        <v>109</v>
      </c>
      <c r="X15" t="s">
        <v>79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G15" t="b">
        <v>0</v>
      </c>
      <c r="AH15" t="s">
        <v>73</v>
      </c>
      <c r="AI15" t="s">
        <v>80</v>
      </c>
      <c r="AJ15" t="s">
        <v>82</v>
      </c>
      <c r="AL15">
        <v>1</v>
      </c>
      <c r="AM15">
        <v>0.25</v>
      </c>
      <c r="AN15" t="s">
        <v>83</v>
      </c>
      <c r="AO15" t="s">
        <v>84</v>
      </c>
      <c r="AP15" t="s">
        <v>85</v>
      </c>
      <c r="AQ15" s="1">
        <v>1</v>
      </c>
      <c r="AS15" t="s">
        <v>87</v>
      </c>
      <c r="AT15" t="s">
        <v>87</v>
      </c>
      <c r="AV15" t="s">
        <v>87</v>
      </c>
      <c r="AW15" t="s">
        <v>87</v>
      </c>
      <c r="AX15" t="s">
        <v>87</v>
      </c>
      <c r="AY15" t="s">
        <v>94</v>
      </c>
      <c r="AZ15">
        <v>20</v>
      </c>
      <c r="BA15" cm="1">
        <f t="array" ref="BA15">_xlfn.IFS(AND(AB15 = "N", AA15 = "N", AF15 &lt;&gt; "Concentrated", AC15 = "N",H15="MARGIN_LOAN"), 10,
AND(AB15 = "N", AA15 = "N", AF15 &lt;&gt; "Concentrated", AC15 = "N",H15="SFT"), 5,
AND(AB15 = "N", AA15 = "N", AF15 &lt;&gt; "Concentrated", AC15 = "Y",H15="MARGIN_LOAN"), 20,
AND(AB15 = "N", AA15 = "N", AF15 &lt;&gt; "Concentrated", AC15 = "Y",H15="SFT"), 10,
AND(AB15 = "Y", AA15 = "N", AF15 &lt;&gt; "Concentrated", AC15 = "N"), 20,
AND(AB15 = "Y", AA15 = "N", AF15 &lt;&gt; "Concentrated", AC15 = "Y"), 40,
AND(AB15 = "N",  OR(AA15 = "Y", AF15 = "Concentrated"), AC15 = "N"), 20,
AND(AB15 = "N",  OR(AA15 = "Y", AF15 = "Concentrated"), AC15 = "Y"), 40,
AND(AB15 = "Y",  OR(AA15 = "Y", AF15 = "Concentrated"), AC15 = "N"), 20,
AND(AB15 = "Y",  OR(AA15 = "Y", AF15 = "Concentrated"), AC15 = "Y"), 40)</f>
        <v>10</v>
      </c>
      <c r="BB15">
        <f t="shared" si="0"/>
        <v>10</v>
      </c>
      <c r="BC15">
        <f t="shared" si="1"/>
        <v>10</v>
      </c>
      <c r="BD15">
        <f t="shared" si="2"/>
        <v>10</v>
      </c>
      <c r="BE15">
        <v>20</v>
      </c>
      <c r="BF15">
        <v>1</v>
      </c>
      <c r="BG15" t="str">
        <f t="shared" si="3"/>
        <v>NA</v>
      </c>
      <c r="BH15" t="s">
        <v>110</v>
      </c>
      <c r="BI15" t="b">
        <v>1</v>
      </c>
      <c r="BJ15">
        <v>1</v>
      </c>
      <c r="BK15">
        <v>1</v>
      </c>
      <c r="BL15" t="s">
        <v>87</v>
      </c>
      <c r="BN15">
        <v>12394</v>
      </c>
      <c r="BP15" s="4">
        <v>304306.8</v>
      </c>
      <c r="BQ15">
        <v>10</v>
      </c>
      <c r="BR15">
        <v>20</v>
      </c>
      <c r="BS15">
        <v>100000003</v>
      </c>
      <c r="BT15" t="s">
        <v>111</v>
      </c>
    </row>
    <row r="16" spans="1:72" x14ac:dyDescent="0.35">
      <c r="A16" s="1">
        <v>45837</v>
      </c>
      <c r="B16" t="s">
        <v>72</v>
      </c>
      <c r="C16">
        <v>12</v>
      </c>
      <c r="D16">
        <v>100000001</v>
      </c>
      <c r="E16">
        <v>3</v>
      </c>
      <c r="F16">
        <v>3</v>
      </c>
      <c r="G16" t="s">
        <v>73</v>
      </c>
      <c r="H16" t="s">
        <v>74</v>
      </c>
      <c r="I16">
        <v>15</v>
      </c>
      <c r="J16">
        <v>163186</v>
      </c>
      <c r="K16">
        <v>25319760</v>
      </c>
      <c r="L16" t="s">
        <v>75</v>
      </c>
      <c r="M16">
        <v>1</v>
      </c>
      <c r="N16">
        <v>2</v>
      </c>
      <c r="O16">
        <v>1</v>
      </c>
      <c r="P16">
        <v>2</v>
      </c>
      <c r="Q16">
        <v>5</v>
      </c>
      <c r="R16">
        <v>0</v>
      </c>
      <c r="S16">
        <v>5</v>
      </c>
      <c r="T16" t="s">
        <v>76</v>
      </c>
      <c r="U16" t="s">
        <v>77</v>
      </c>
      <c r="V16" t="s">
        <v>112</v>
      </c>
      <c r="W16" t="s">
        <v>112</v>
      </c>
      <c r="X16" t="s">
        <v>79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G16" t="b">
        <v>0</v>
      </c>
      <c r="AH16" t="s">
        <v>73</v>
      </c>
      <c r="AI16" t="s">
        <v>80</v>
      </c>
      <c r="AJ16" t="s">
        <v>82</v>
      </c>
      <c r="AK16" t="s">
        <v>93</v>
      </c>
      <c r="AL16">
        <v>1</v>
      </c>
      <c r="AM16">
        <v>0.15</v>
      </c>
      <c r="AN16" t="s">
        <v>83</v>
      </c>
      <c r="AO16" t="s">
        <v>84</v>
      </c>
      <c r="AP16" t="s">
        <v>85</v>
      </c>
      <c r="AQ16" s="1">
        <v>1</v>
      </c>
      <c r="AS16" t="s">
        <v>113</v>
      </c>
      <c r="AT16" t="s">
        <v>113</v>
      </c>
      <c r="AV16" t="s">
        <v>113</v>
      </c>
      <c r="AW16" t="s">
        <v>87</v>
      </c>
      <c r="AX16" t="s">
        <v>87</v>
      </c>
      <c r="AY16" t="s">
        <v>88</v>
      </c>
      <c r="AZ16">
        <v>20</v>
      </c>
      <c r="BA16" cm="1">
        <f t="array" ref="BA16">_xlfn.IFS(AND(AB16 = "N", AA16 = "N", AF16 &lt;&gt; "Concentrated", AC16 = "N",H16="MARGIN_LOAN"), 10,
AND(AB16 = "N", AA16 = "N", AF16 &lt;&gt; "Concentrated", AC16 = "N",H16="SFT"), 5,
AND(AB16 = "N", AA16 = "N", AF16 &lt;&gt; "Concentrated", AC16 = "Y",H16="MARGIN_LOAN"), 20,
AND(AB16 = "N", AA16 = "N", AF16 &lt;&gt; "Concentrated", AC16 = "Y",H16="SFT"), 10,
AND(AB16 = "Y", AA16 = "N", AF16 &lt;&gt; "Concentrated", AC16 = "N"), 20,
AND(AB16 = "Y", AA16 = "N", AF16 &lt;&gt; "Concentrated", AC16 = "Y"), 40,
AND(AB16 = "N",  OR(AA16 = "Y", AF16 = "Concentrated"), AC16 = "N"), 20,
AND(AB16 = "N",  OR(AA16 = "Y", AF16 = "Concentrated"), AC16 = "Y"), 40,
AND(AB16 = "Y",  OR(AA16 = "Y", AF16 = "Concentrated"), AC16 = "N"), 20,
AND(AB16 = "Y",  OR(AA16 = "Y", AF16 = "Concentrated"), AC16 = "Y"), 40)</f>
        <v>10</v>
      </c>
      <c r="BB16">
        <f t="shared" si="0"/>
        <v>10</v>
      </c>
      <c r="BC16">
        <f t="shared" si="1"/>
        <v>10</v>
      </c>
      <c r="BD16">
        <f t="shared" si="2"/>
        <v>10</v>
      </c>
      <c r="BE16">
        <v>20</v>
      </c>
      <c r="BF16">
        <v>1</v>
      </c>
      <c r="BG16" t="str">
        <f t="shared" si="3"/>
        <v>NA</v>
      </c>
      <c r="BH16" t="s">
        <v>110</v>
      </c>
      <c r="BI16" t="b">
        <v>1</v>
      </c>
      <c r="BJ16">
        <v>1</v>
      </c>
      <c r="BK16">
        <v>1</v>
      </c>
      <c r="BM16" t="s">
        <v>113</v>
      </c>
      <c r="BN16">
        <v>141251</v>
      </c>
      <c r="BP16" s="4">
        <v>4057479.94</v>
      </c>
      <c r="BQ16">
        <v>10</v>
      </c>
      <c r="BR16">
        <v>20</v>
      </c>
      <c r="BS16">
        <v>100000003</v>
      </c>
      <c r="BT16" t="s">
        <v>111</v>
      </c>
    </row>
    <row r="17" spans="1:72" x14ac:dyDescent="0.35">
      <c r="A17" s="1">
        <v>45837</v>
      </c>
      <c r="B17" t="s">
        <v>72</v>
      </c>
      <c r="C17">
        <v>12</v>
      </c>
      <c r="D17">
        <v>100000001</v>
      </c>
      <c r="E17">
        <v>3</v>
      </c>
      <c r="F17">
        <v>3</v>
      </c>
      <c r="G17" t="s">
        <v>73</v>
      </c>
      <c r="H17" t="s">
        <v>74</v>
      </c>
      <c r="I17">
        <v>15</v>
      </c>
      <c r="J17">
        <v>163186</v>
      </c>
      <c r="K17">
        <v>94186207</v>
      </c>
      <c r="L17" t="s">
        <v>75</v>
      </c>
      <c r="M17">
        <v>1</v>
      </c>
      <c r="N17">
        <v>2</v>
      </c>
      <c r="O17">
        <v>1</v>
      </c>
      <c r="P17">
        <v>2</v>
      </c>
      <c r="Q17">
        <v>5</v>
      </c>
      <c r="R17">
        <v>0</v>
      </c>
      <c r="S17">
        <v>5</v>
      </c>
      <c r="T17" t="s">
        <v>76</v>
      </c>
      <c r="U17" t="s">
        <v>77</v>
      </c>
      <c r="V17" t="s">
        <v>114</v>
      </c>
      <c r="W17" t="s">
        <v>114</v>
      </c>
      <c r="X17" t="s">
        <v>79</v>
      </c>
      <c r="Y17" t="s">
        <v>80</v>
      </c>
      <c r="Z17" t="s">
        <v>80</v>
      </c>
      <c r="AA17" t="s">
        <v>80</v>
      </c>
      <c r="AB17" t="s">
        <v>80</v>
      </c>
      <c r="AC17" t="s">
        <v>80</v>
      </c>
      <c r="AD17" t="s">
        <v>80</v>
      </c>
      <c r="AE17" t="s">
        <v>80</v>
      </c>
      <c r="AG17" t="b">
        <v>0</v>
      </c>
      <c r="AH17" t="s">
        <v>73</v>
      </c>
      <c r="AI17" t="s">
        <v>80</v>
      </c>
      <c r="AJ17" t="s">
        <v>82</v>
      </c>
      <c r="AL17">
        <v>1</v>
      </c>
      <c r="AM17">
        <v>0.25</v>
      </c>
      <c r="AN17" t="s">
        <v>83</v>
      </c>
      <c r="AO17" t="s">
        <v>84</v>
      </c>
      <c r="AP17" t="s">
        <v>85</v>
      </c>
      <c r="AQ17" s="1">
        <v>1</v>
      </c>
      <c r="AS17" t="s">
        <v>87</v>
      </c>
      <c r="AT17" t="s">
        <v>87</v>
      </c>
      <c r="AV17" t="s">
        <v>87</v>
      </c>
      <c r="AW17" t="s">
        <v>87</v>
      </c>
      <c r="AX17" t="s">
        <v>87</v>
      </c>
      <c r="AY17" t="s">
        <v>94</v>
      </c>
      <c r="AZ17">
        <v>20</v>
      </c>
      <c r="BA17" cm="1">
        <f t="array" ref="BA17">_xlfn.IFS(AND(AB17 = "N", AA17 = "N", AF17 &lt;&gt; "Concentrated", AC17 = "N",H17="MARGIN_LOAN"), 10,
AND(AB17 = "N", AA17 = "N", AF17 &lt;&gt; "Concentrated", AC17 = "N",H17="SFT"), 5,
AND(AB17 = "N", AA17 = "N", AF17 &lt;&gt; "Concentrated", AC17 = "Y",H17="MARGIN_LOAN"), 20,
AND(AB17 = "N", AA17 = "N", AF17 &lt;&gt; "Concentrated", AC17 = "Y",H17="SFT"), 10,
AND(AB17 = "Y", AA17 = "N", AF17 &lt;&gt; "Concentrated", AC17 = "N"), 20,
AND(AB17 = "Y", AA17 = "N", AF17 &lt;&gt; "Concentrated", AC17 = "Y"), 40,
AND(AB17 = "N",  OR(AA17 = "Y", AF17 = "Concentrated"), AC17 = "N"), 20,
AND(AB17 = "N",  OR(AA17 = "Y", AF17 = "Concentrated"), AC17 = "Y"), 40,
AND(AB17 = "Y",  OR(AA17 = "Y", AF17 = "Concentrated"), AC17 = "N"), 20,
AND(AB17 = "Y",  OR(AA17 = "Y", AF17 = "Concentrated"), AC17 = "Y"), 40)</f>
        <v>10</v>
      </c>
      <c r="BB17">
        <f t="shared" si="0"/>
        <v>10</v>
      </c>
      <c r="BC17">
        <f>IF(OR(BH17="SCENARIO1",BH17="SCENARIO2"),10,BA17)</f>
        <v>10</v>
      </c>
      <c r="BD17">
        <f t="shared" si="2"/>
        <v>10</v>
      </c>
      <c r="BE17">
        <v>20</v>
      </c>
      <c r="BF17">
        <v>1</v>
      </c>
      <c r="BG17" t="str">
        <f t="shared" si="3"/>
        <v>NA</v>
      </c>
      <c r="BH17" t="s">
        <v>110</v>
      </c>
      <c r="BI17" t="b">
        <v>1</v>
      </c>
      <c r="BJ17">
        <v>1</v>
      </c>
      <c r="BK17">
        <v>1</v>
      </c>
      <c r="BL17" t="s">
        <v>87</v>
      </c>
      <c r="BN17">
        <v>32321</v>
      </c>
      <c r="BP17" s="4">
        <v>10109437.279999999</v>
      </c>
      <c r="BQ17">
        <v>10</v>
      </c>
      <c r="BR17">
        <v>20</v>
      </c>
      <c r="BS17">
        <v>100000003</v>
      </c>
      <c r="BT17" t="s">
        <v>111</v>
      </c>
    </row>
    <row r="18" spans="1:72" x14ac:dyDescent="0.35">
      <c r="A18" s="1">
        <v>45837</v>
      </c>
      <c r="B18" t="s">
        <v>72</v>
      </c>
      <c r="C18">
        <v>12</v>
      </c>
      <c r="D18">
        <v>100000001</v>
      </c>
      <c r="E18">
        <v>3</v>
      </c>
      <c r="F18">
        <v>3</v>
      </c>
      <c r="G18" t="s">
        <v>73</v>
      </c>
      <c r="H18" t="s">
        <v>74</v>
      </c>
      <c r="I18">
        <v>15</v>
      </c>
      <c r="J18">
        <v>163186</v>
      </c>
      <c r="K18">
        <v>87452013</v>
      </c>
      <c r="L18" t="s">
        <v>75</v>
      </c>
      <c r="M18">
        <v>1</v>
      </c>
      <c r="N18">
        <v>2</v>
      </c>
      <c r="O18">
        <v>1</v>
      </c>
      <c r="P18">
        <v>2</v>
      </c>
      <c r="Q18">
        <v>5</v>
      </c>
      <c r="R18">
        <v>0</v>
      </c>
      <c r="S18">
        <v>5</v>
      </c>
      <c r="T18" t="s">
        <v>76</v>
      </c>
      <c r="U18" t="s">
        <v>77</v>
      </c>
      <c r="V18" t="s">
        <v>115</v>
      </c>
      <c r="W18" t="s">
        <v>115</v>
      </c>
      <c r="X18" t="s">
        <v>79</v>
      </c>
      <c r="Y18" t="s">
        <v>80</v>
      </c>
      <c r="Z18" t="s">
        <v>80</v>
      </c>
      <c r="AA18" t="s">
        <v>80</v>
      </c>
      <c r="AB18" t="s">
        <v>80</v>
      </c>
      <c r="AC18" t="s">
        <v>80</v>
      </c>
      <c r="AD18" t="s">
        <v>80</v>
      </c>
      <c r="AE18" t="s">
        <v>80</v>
      </c>
      <c r="AG18" t="b">
        <v>0</v>
      </c>
      <c r="AH18" t="s">
        <v>73</v>
      </c>
      <c r="AI18" t="s">
        <v>80</v>
      </c>
      <c r="AJ18" t="s">
        <v>82</v>
      </c>
      <c r="AL18">
        <v>1</v>
      </c>
      <c r="AM18">
        <v>0.15</v>
      </c>
      <c r="AN18" t="s">
        <v>83</v>
      </c>
      <c r="AO18" t="s">
        <v>84</v>
      </c>
      <c r="AP18" t="s">
        <v>85</v>
      </c>
      <c r="AQ18" s="1">
        <v>1</v>
      </c>
      <c r="AS18" t="s">
        <v>87</v>
      </c>
      <c r="AT18" t="s">
        <v>87</v>
      </c>
      <c r="AV18" t="s">
        <v>87</v>
      </c>
      <c r="AW18" t="s">
        <v>87</v>
      </c>
      <c r="AX18" t="s">
        <v>87</v>
      </c>
      <c r="AY18" t="s">
        <v>88</v>
      </c>
      <c r="AZ18">
        <v>20</v>
      </c>
      <c r="BA18" cm="1">
        <f t="array" ref="BA18">_xlfn.IFS(AND(AB18 = "N", AA18 = "N", AF18 &lt;&gt; "Concentrated", AC18 = "N",H18="MARGIN_LOAN"), 10,
AND(AB18 = "N", AA18 = "N", AF18 &lt;&gt; "Concentrated", AC18 = "N",H18="SFT"), 5,
AND(AB18 = "N", AA18 = "N", AF18 &lt;&gt; "Concentrated", AC18 = "Y",H18="MARGIN_LOAN"), 20,
AND(AB18 = "N", AA18 = "N", AF18 &lt;&gt; "Concentrated", AC18 = "Y",H18="SFT"), 10,
AND(AB18 = "Y", AA18 = "N", AF18 &lt;&gt; "Concentrated", AC18 = "N"), 20,
AND(AB18 = "Y", AA18 = "N", AF18 &lt;&gt; "Concentrated", AC18 = "Y"), 40,
AND(AB18 = "N",  OR(AA18 = "Y", AF18 = "Concentrated"), AC18 = "N"), 20,
AND(AB18 = "N",  OR(AA18 = "Y", AF18 = "Concentrated"), AC18 = "Y"), 40,
AND(AB18 = "Y",  OR(AA18 = "Y", AF18 = "Concentrated"), AC18 = "N"), 20,
AND(AB18 = "Y",  OR(AA18 = "Y", AF18 = "Concentrated"), AC18 = "Y"), 40)</f>
        <v>10</v>
      </c>
      <c r="BB18">
        <f t="shared" si="0"/>
        <v>10</v>
      </c>
      <c r="BC18">
        <f t="shared" si="1"/>
        <v>10</v>
      </c>
      <c r="BD18">
        <f t="shared" si="2"/>
        <v>10</v>
      </c>
      <c r="BE18">
        <v>20</v>
      </c>
      <c r="BF18">
        <v>1</v>
      </c>
      <c r="BG18" t="str">
        <f t="shared" si="3"/>
        <v>NA</v>
      </c>
      <c r="BH18" t="s">
        <v>110</v>
      </c>
      <c r="BI18" t="b">
        <v>1</v>
      </c>
      <c r="BJ18">
        <v>1</v>
      </c>
      <c r="BK18">
        <v>1</v>
      </c>
      <c r="BM18" t="s">
        <v>87</v>
      </c>
      <c r="BN18">
        <v>1351</v>
      </c>
      <c r="BP18" s="4">
        <v>8924661.7300000004</v>
      </c>
      <c r="BQ18">
        <v>10</v>
      </c>
      <c r="BR18">
        <v>20</v>
      </c>
      <c r="BS18">
        <v>100000003</v>
      </c>
      <c r="BT18" t="s">
        <v>111</v>
      </c>
    </row>
    <row r="19" spans="1:72" x14ac:dyDescent="0.35">
      <c r="A19" s="1">
        <v>45837</v>
      </c>
      <c r="B19" t="s">
        <v>72</v>
      </c>
      <c r="C19">
        <v>12</v>
      </c>
      <c r="D19">
        <v>100000001</v>
      </c>
      <c r="E19">
        <v>3</v>
      </c>
      <c r="F19">
        <v>3</v>
      </c>
      <c r="G19" t="s">
        <v>73</v>
      </c>
      <c r="H19" t="s">
        <v>74</v>
      </c>
      <c r="I19">
        <v>1</v>
      </c>
      <c r="J19">
        <v>163186</v>
      </c>
      <c r="K19">
        <v>31860794</v>
      </c>
      <c r="L19" t="s">
        <v>75</v>
      </c>
      <c r="M19">
        <v>1</v>
      </c>
      <c r="N19">
        <v>2</v>
      </c>
      <c r="O19">
        <v>1</v>
      </c>
      <c r="P19">
        <v>2</v>
      </c>
      <c r="Q19">
        <v>5</v>
      </c>
      <c r="R19">
        <v>0</v>
      </c>
      <c r="S19">
        <v>5</v>
      </c>
      <c r="T19" t="s">
        <v>76</v>
      </c>
      <c r="U19" t="s">
        <v>77</v>
      </c>
      <c r="V19" t="s">
        <v>116</v>
      </c>
      <c r="W19" t="s">
        <v>116</v>
      </c>
      <c r="X19" t="s">
        <v>79</v>
      </c>
      <c r="Y19" t="s">
        <v>80</v>
      </c>
      <c r="Z19" t="s">
        <v>80</v>
      </c>
      <c r="AA19" t="s">
        <v>80</v>
      </c>
      <c r="AB19" t="s">
        <v>80</v>
      </c>
      <c r="AC19" t="s">
        <v>80</v>
      </c>
      <c r="AD19" t="s">
        <v>80</v>
      </c>
      <c r="AE19" t="s">
        <v>80</v>
      </c>
      <c r="AG19" t="b">
        <v>0</v>
      </c>
      <c r="AH19" t="s">
        <v>73</v>
      </c>
      <c r="AI19" t="s">
        <v>80</v>
      </c>
      <c r="AJ19" t="s">
        <v>82</v>
      </c>
      <c r="AL19">
        <v>1</v>
      </c>
      <c r="AM19">
        <v>0.15</v>
      </c>
      <c r="AN19" t="s">
        <v>83</v>
      </c>
      <c r="AO19" t="s">
        <v>84</v>
      </c>
      <c r="AP19" t="s">
        <v>85</v>
      </c>
      <c r="AQ19" s="1">
        <v>1</v>
      </c>
      <c r="AS19" t="s">
        <v>87</v>
      </c>
      <c r="AT19" t="s">
        <v>87</v>
      </c>
      <c r="AV19" t="s">
        <v>87</v>
      </c>
      <c r="AW19" t="s">
        <v>87</v>
      </c>
      <c r="AX19" t="s">
        <v>87</v>
      </c>
      <c r="AY19" t="s">
        <v>94</v>
      </c>
      <c r="AZ19">
        <v>20</v>
      </c>
      <c r="BA19" cm="1">
        <f t="array" ref="BA19">_xlfn.IFS(AND(AB19 = "N", AA19 = "N", AF19 &lt;&gt; "Concentrated", AC19 = "N",H19="MARGIN_LOAN"), 10,
AND(AB19 = "N", AA19 = "N", AF19 &lt;&gt; "Concentrated", AC19 = "N",H19="SFT"), 5,
AND(AB19 = "N", AA19 = "N", AF19 &lt;&gt; "Concentrated", AC19 = "Y",H19="MARGIN_LOAN"), 20,
AND(AB19 = "N", AA19 = "N", AF19 &lt;&gt; "Concentrated", AC19 = "Y",H19="SFT"), 10,
AND(AB19 = "Y", AA19 = "N", AF19 &lt;&gt; "Concentrated", AC19 = "N"), 20,
AND(AB19 = "Y", AA19 = "N", AF19 &lt;&gt; "Concentrated", AC19 = "Y"), 40,
AND(AB19 = "N",  OR(AA19 = "Y", AF19 = "Concentrated"), AC19 = "N"), 20,
AND(AB19 = "N",  OR(AA19 = "Y", AF19 = "Concentrated"), AC19 = "Y"), 40,
AND(AB19 = "Y",  OR(AA19 = "Y", AF19 = "Concentrated"), AC19 = "N"), 20,
AND(AB19 = "Y",  OR(AA19 = "Y", AF19 = "Concentrated"), AC19 = "Y"), 40)</f>
        <v>10</v>
      </c>
      <c r="BB19">
        <f t="shared" si="0"/>
        <v>10</v>
      </c>
      <c r="BC19">
        <f t="shared" si="1"/>
        <v>10</v>
      </c>
      <c r="BD19">
        <f t="shared" si="2"/>
        <v>10</v>
      </c>
      <c r="BE19">
        <v>20</v>
      </c>
      <c r="BF19">
        <v>1</v>
      </c>
      <c r="BG19" t="str">
        <f t="shared" si="3"/>
        <v>NA</v>
      </c>
      <c r="BH19" t="s">
        <v>110</v>
      </c>
      <c r="BI19" t="b">
        <v>1</v>
      </c>
      <c r="BJ19">
        <v>0</v>
      </c>
      <c r="BK19">
        <v>0</v>
      </c>
      <c r="BL19" t="s">
        <v>87</v>
      </c>
      <c r="BN19">
        <v>1233</v>
      </c>
      <c r="BP19" s="4">
        <v>932727.68</v>
      </c>
      <c r="BQ19">
        <v>10</v>
      </c>
      <c r="BR19">
        <v>20</v>
      </c>
      <c r="BS19">
        <v>100000003</v>
      </c>
      <c r="BT19" t="s">
        <v>111</v>
      </c>
    </row>
    <row r="20" spans="1:72" x14ac:dyDescent="0.35">
      <c r="A20" s="1">
        <v>45837</v>
      </c>
      <c r="B20" t="s">
        <v>72</v>
      </c>
      <c r="C20">
        <v>12</v>
      </c>
      <c r="D20">
        <v>100000001</v>
      </c>
      <c r="E20">
        <v>4</v>
      </c>
      <c r="F20">
        <v>4</v>
      </c>
      <c r="G20" t="s">
        <v>73</v>
      </c>
      <c r="H20" t="s">
        <v>117</v>
      </c>
      <c r="I20">
        <v>1</v>
      </c>
      <c r="J20">
        <v>163186</v>
      </c>
      <c r="K20">
        <v>20517368</v>
      </c>
      <c r="L20" t="s">
        <v>75</v>
      </c>
      <c r="M20">
        <v>1</v>
      </c>
      <c r="N20">
        <v>2</v>
      </c>
      <c r="O20">
        <v>1</v>
      </c>
      <c r="P20">
        <v>2</v>
      </c>
      <c r="Q20">
        <v>5</v>
      </c>
      <c r="R20">
        <v>0</v>
      </c>
      <c r="S20">
        <v>5</v>
      </c>
      <c r="T20" t="s">
        <v>76</v>
      </c>
      <c r="U20" t="s">
        <v>77</v>
      </c>
      <c r="V20" t="s">
        <v>118</v>
      </c>
      <c r="W20" t="s">
        <v>118</v>
      </c>
      <c r="X20" t="s">
        <v>79</v>
      </c>
      <c r="Y20" t="s">
        <v>80</v>
      </c>
      <c r="Z20" t="s">
        <v>73</v>
      </c>
      <c r="AA20" t="s">
        <v>80</v>
      </c>
      <c r="AB20" t="s">
        <v>80</v>
      </c>
      <c r="AC20" t="s">
        <v>80</v>
      </c>
      <c r="AD20" t="s">
        <v>73</v>
      </c>
      <c r="AE20" t="s">
        <v>73</v>
      </c>
      <c r="AF20" t="s">
        <v>81</v>
      </c>
      <c r="AG20" t="b">
        <v>0</v>
      </c>
      <c r="AH20" t="s">
        <v>73</v>
      </c>
      <c r="AI20" t="s">
        <v>80</v>
      </c>
      <c r="AJ20" t="s">
        <v>82</v>
      </c>
      <c r="AL20">
        <v>1</v>
      </c>
      <c r="AM20">
        <v>0.25</v>
      </c>
      <c r="AN20" t="s">
        <v>83</v>
      </c>
      <c r="AO20" t="s">
        <v>84</v>
      </c>
      <c r="AP20" t="s">
        <v>85</v>
      </c>
      <c r="AQ20" s="1">
        <v>45839</v>
      </c>
      <c r="AR20" s="1">
        <v>45839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88</v>
      </c>
      <c r="AZ20">
        <v>5</v>
      </c>
      <c r="BA20" cm="1">
        <f t="array" ref="BA20">_xlfn.IFS(AND(AB20 = "N", AA20 = "N", AF20 &lt;&gt; "Concentrated", AC20 = "N",H20="MARGIN_LOAN"), 10,
AND(AB20 = "N", AA20 = "N", AF20 &lt;&gt; "Concentrated", AC20 = "N",H20="SFT"), 5,
AND(AB20 = "N", AA20 = "N", AF20 &lt;&gt; "Concentrated", AC20 = "Y",H20="MARGIN_LOAN"), 20,
AND(AB20 = "N", AA20 = "N", AF20 &lt;&gt; "Concentrated", AC20 = "Y",H20="SFT"), 10,
AND(AB20 = "Y", AA20 = "N", AF20 &lt;&gt; "Concentrated", AC20 = "N"), 20,
AND(AB20 = "Y", AA20 = "N", AF20 &lt;&gt; "Concentrated", AC20 = "Y"), 40,
AND(AB20 = "N",  OR(AA20 = "Y", AF20 = "Concentrated"), AC20 = "N"), 20,
AND(AB20 = "N",  OR(AA20 = "Y", AF20 = "Concentrated"), AC20 = "Y"), 40,
AND(AB20 = "Y",  OR(AA20 = "Y", AF20 = "Concentrated"), AC20 = "N"), 20,
AND(AB20 = "Y",  OR(AA20 = "Y", AF20 = "Concentrated"), AC20 = "Y"), 40)</f>
        <v>20</v>
      </c>
      <c r="BB20">
        <f t="shared" si="0"/>
        <v>20</v>
      </c>
      <c r="BC20">
        <f>IF(OR(BH20="SCENARIO1",BH20="SCENARIO2"),5,BA20)</f>
        <v>5</v>
      </c>
      <c r="BD20">
        <f t="shared" si="2"/>
        <v>5</v>
      </c>
      <c r="BE20">
        <v>5</v>
      </c>
      <c r="BF20">
        <v>1</v>
      </c>
      <c r="BG20" t="str">
        <f t="shared" si="3"/>
        <v>SCENARIO</v>
      </c>
      <c r="BH20" t="s">
        <v>89</v>
      </c>
      <c r="BI20" t="b">
        <v>1</v>
      </c>
      <c r="BJ20">
        <v>1</v>
      </c>
      <c r="BK20">
        <v>1</v>
      </c>
      <c r="BL20" t="s">
        <v>87</v>
      </c>
      <c r="BM20" t="s">
        <v>87</v>
      </c>
      <c r="BN20">
        <v>18000</v>
      </c>
      <c r="BP20" s="3">
        <v>842383.03949999996</v>
      </c>
      <c r="BQ20">
        <v>5</v>
      </c>
      <c r="BR20">
        <v>20</v>
      </c>
      <c r="BS20">
        <v>100000004</v>
      </c>
      <c r="BT20" t="s">
        <v>119</v>
      </c>
    </row>
    <row r="21" spans="1:72" x14ac:dyDescent="0.35">
      <c r="A21" s="1">
        <v>45837</v>
      </c>
      <c r="B21" t="s">
        <v>72</v>
      </c>
      <c r="C21">
        <v>12</v>
      </c>
      <c r="D21">
        <v>100000001</v>
      </c>
      <c r="E21">
        <v>4</v>
      </c>
      <c r="F21">
        <v>4</v>
      </c>
      <c r="G21" t="s">
        <v>73</v>
      </c>
      <c r="H21" t="s">
        <v>117</v>
      </c>
      <c r="I21">
        <v>1</v>
      </c>
      <c r="J21">
        <v>163186</v>
      </c>
      <c r="K21">
        <v>78630251</v>
      </c>
      <c r="L21" t="s">
        <v>75</v>
      </c>
      <c r="M21">
        <v>1</v>
      </c>
      <c r="N21">
        <v>2</v>
      </c>
      <c r="O21">
        <v>1</v>
      </c>
      <c r="P21">
        <v>2</v>
      </c>
      <c r="Q21">
        <v>5</v>
      </c>
      <c r="R21">
        <v>0</v>
      </c>
      <c r="S21">
        <v>5</v>
      </c>
      <c r="T21" t="s">
        <v>76</v>
      </c>
      <c r="U21" t="s">
        <v>77</v>
      </c>
      <c r="V21" t="s">
        <v>120</v>
      </c>
      <c r="W21" t="s">
        <v>120</v>
      </c>
      <c r="X21" t="s">
        <v>79</v>
      </c>
      <c r="Y21" t="s">
        <v>80</v>
      </c>
      <c r="Z21" t="s">
        <v>73</v>
      </c>
      <c r="AA21" t="s">
        <v>80</v>
      </c>
      <c r="AB21" t="s">
        <v>80</v>
      </c>
      <c r="AC21" t="s">
        <v>80</v>
      </c>
      <c r="AD21" t="s">
        <v>73</v>
      </c>
      <c r="AE21" t="s">
        <v>73</v>
      </c>
      <c r="AF21" t="s">
        <v>81</v>
      </c>
      <c r="AG21" t="b">
        <v>0</v>
      </c>
      <c r="AH21" t="s">
        <v>73</v>
      </c>
      <c r="AI21" t="s">
        <v>80</v>
      </c>
      <c r="AJ21" t="s">
        <v>82</v>
      </c>
      <c r="AL21">
        <v>1</v>
      </c>
      <c r="AM21">
        <v>0.25</v>
      </c>
      <c r="AN21" t="s">
        <v>83</v>
      </c>
      <c r="AO21" t="s">
        <v>84</v>
      </c>
      <c r="AP21" t="s">
        <v>85</v>
      </c>
      <c r="AQ21" s="1">
        <v>45839</v>
      </c>
      <c r="AR21" s="1">
        <v>45839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94</v>
      </c>
      <c r="AZ21">
        <v>5</v>
      </c>
      <c r="BA21" cm="1">
        <f t="array" ref="BA21">_xlfn.IFS(AND(AB21 = "N", AA21 = "N", AF21 &lt;&gt; "Concentrated", AC21 = "N",H21="MARGIN_LOAN"), 10,
AND(AB21 = "N", AA21 = "N", AF21 &lt;&gt; "Concentrated", AC21 = "N",H21="SFT"), 5,
AND(AB21 = "N", AA21 = "N", AF21 &lt;&gt; "Concentrated", AC21 = "Y",H21="MARGIN_LOAN"), 20,
AND(AB21 = "N", AA21 = "N", AF21 &lt;&gt; "Concentrated", AC21 = "Y",H21="SFT"), 10,
AND(AB21 = "Y", AA21 = "N", AF21 &lt;&gt; "Concentrated", AC21 = "N"), 20,
AND(AB21 = "Y", AA21 = "N", AF21 &lt;&gt; "Concentrated", AC21 = "Y"), 40,
AND(AB21 = "N",  OR(AA21 = "Y", AF21 = "Concentrated"), AC21 = "N"), 20,
AND(AB21 = "N",  OR(AA21 = "Y", AF21 = "Concentrated"), AC21 = "Y"), 40,
AND(AB21 = "Y",  OR(AA21 = "Y", AF21 = "Concentrated"), AC21 = "N"), 20,
AND(AB21 = "Y",  OR(AA21 = "Y", AF21 = "Concentrated"), AC21 = "Y"), 40)</f>
        <v>20</v>
      </c>
      <c r="BB21">
        <f t="shared" si="0"/>
        <v>20</v>
      </c>
      <c r="BC21">
        <f t="shared" ref="BC21:BC45" si="4">IF(OR(BH21="SCENARIO1",BH21="SCENARIO2"),5,BA21)</f>
        <v>5</v>
      </c>
      <c r="BD21">
        <f t="shared" si="2"/>
        <v>5</v>
      </c>
      <c r="BE21">
        <v>5</v>
      </c>
      <c r="BF21">
        <v>1</v>
      </c>
      <c r="BG21" t="str">
        <f t="shared" si="3"/>
        <v>SCENARIO</v>
      </c>
      <c r="BH21" t="s">
        <v>89</v>
      </c>
      <c r="BI21" t="b">
        <v>1</v>
      </c>
      <c r="BJ21">
        <v>1</v>
      </c>
      <c r="BK21">
        <v>1</v>
      </c>
      <c r="BL21" t="s">
        <v>87</v>
      </c>
      <c r="BM21" t="s">
        <v>87</v>
      </c>
      <c r="BN21">
        <v>8000</v>
      </c>
      <c r="BP21" s="3">
        <v>6693482.6610000003</v>
      </c>
      <c r="BQ21">
        <v>5</v>
      </c>
      <c r="BR21">
        <v>20</v>
      </c>
      <c r="BS21">
        <v>100000004</v>
      </c>
      <c r="BT21" t="s">
        <v>119</v>
      </c>
    </row>
    <row r="22" spans="1:72" x14ac:dyDescent="0.35">
      <c r="A22" s="1">
        <v>45837</v>
      </c>
      <c r="B22" t="s">
        <v>72</v>
      </c>
      <c r="C22">
        <v>12</v>
      </c>
      <c r="D22">
        <v>100000001</v>
      </c>
      <c r="E22">
        <v>4</v>
      </c>
      <c r="F22">
        <v>4</v>
      </c>
      <c r="G22" t="s">
        <v>73</v>
      </c>
      <c r="H22" t="s">
        <v>117</v>
      </c>
      <c r="I22">
        <v>1</v>
      </c>
      <c r="J22">
        <v>163186</v>
      </c>
      <c r="K22">
        <v>45918723</v>
      </c>
      <c r="L22" t="s">
        <v>75</v>
      </c>
      <c r="M22">
        <v>1</v>
      </c>
      <c r="N22">
        <v>2</v>
      </c>
      <c r="O22">
        <v>1</v>
      </c>
      <c r="P22">
        <v>2</v>
      </c>
      <c r="Q22">
        <v>5</v>
      </c>
      <c r="R22">
        <v>0</v>
      </c>
      <c r="S22">
        <v>5</v>
      </c>
      <c r="T22" t="s">
        <v>76</v>
      </c>
      <c r="U22" t="s">
        <v>77</v>
      </c>
      <c r="V22" t="s">
        <v>121</v>
      </c>
      <c r="W22" t="s">
        <v>121</v>
      </c>
      <c r="X22" t="s">
        <v>79</v>
      </c>
      <c r="Y22" t="s">
        <v>80</v>
      </c>
      <c r="Z22" t="s">
        <v>73</v>
      </c>
      <c r="AA22" t="s">
        <v>80</v>
      </c>
      <c r="AB22" t="s">
        <v>80</v>
      </c>
      <c r="AC22" t="s">
        <v>80</v>
      </c>
      <c r="AD22" t="s">
        <v>73</v>
      </c>
      <c r="AE22" t="s">
        <v>73</v>
      </c>
      <c r="AF22" t="s">
        <v>81</v>
      </c>
      <c r="AG22" t="b">
        <v>0</v>
      </c>
      <c r="AH22" t="s">
        <v>73</v>
      </c>
      <c r="AI22" t="s">
        <v>80</v>
      </c>
      <c r="AJ22" t="s">
        <v>82</v>
      </c>
      <c r="AK22" t="s">
        <v>93</v>
      </c>
      <c r="AL22">
        <v>1</v>
      </c>
      <c r="AM22">
        <v>0.25</v>
      </c>
      <c r="AN22" t="s">
        <v>83</v>
      </c>
      <c r="AO22" t="s">
        <v>84</v>
      </c>
      <c r="AP22" t="s">
        <v>85</v>
      </c>
      <c r="AQ22" s="1">
        <v>45839</v>
      </c>
      <c r="AR22" s="1">
        <v>45839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88</v>
      </c>
      <c r="AZ22">
        <v>5</v>
      </c>
      <c r="BA22" cm="1">
        <f t="array" ref="BA22">_xlfn.IFS(AND(AB22 = "N", AA22 = "N", AF22 &lt;&gt; "Concentrated", AC22 = "N",H22="MARGIN_LOAN"), 10,
AND(AB22 = "N", AA22 = "N", AF22 &lt;&gt; "Concentrated", AC22 = "N",H22="SFT"), 5,
AND(AB22 = "N", AA22 = "N", AF22 &lt;&gt; "Concentrated", AC22 = "Y",H22="MARGIN_LOAN"), 20,
AND(AB22 = "N", AA22 = "N", AF22 &lt;&gt; "Concentrated", AC22 = "Y",H22="SFT"), 10,
AND(AB22 = "Y", AA22 = "N", AF22 &lt;&gt; "Concentrated", AC22 = "N"), 20,
AND(AB22 = "Y", AA22 = "N", AF22 &lt;&gt; "Concentrated", AC22 = "Y"), 40,
AND(AB22 = "N",  OR(AA22 = "Y", AF22 = "Concentrated"), AC22 = "N"), 20,
AND(AB22 = "N",  OR(AA22 = "Y", AF22 = "Concentrated"), AC22 = "Y"), 40,
AND(AB22 = "Y",  OR(AA22 = "Y", AF22 = "Concentrated"), AC22 = "N"), 20,
AND(AB22 = "Y",  OR(AA22 = "Y", AF22 = "Concentrated"), AC22 = "Y"), 40)</f>
        <v>20</v>
      </c>
      <c r="BB22">
        <f t="shared" si="0"/>
        <v>20</v>
      </c>
      <c r="BC22">
        <f t="shared" si="4"/>
        <v>5</v>
      </c>
      <c r="BD22">
        <f t="shared" si="2"/>
        <v>5</v>
      </c>
      <c r="BE22">
        <v>5</v>
      </c>
      <c r="BF22">
        <v>1</v>
      </c>
      <c r="BG22" t="str">
        <f t="shared" si="3"/>
        <v>SCENARIO</v>
      </c>
      <c r="BH22" t="s">
        <v>89</v>
      </c>
      <c r="BI22" t="b">
        <v>1</v>
      </c>
      <c r="BJ22">
        <v>1</v>
      </c>
      <c r="BK22">
        <v>1</v>
      </c>
      <c r="BL22" t="s">
        <v>87</v>
      </c>
      <c r="BM22" t="s">
        <v>87</v>
      </c>
      <c r="BN22">
        <v>1000</v>
      </c>
      <c r="BP22" s="3">
        <v>2316444.551</v>
      </c>
      <c r="BQ22">
        <v>5</v>
      </c>
      <c r="BR22">
        <v>20</v>
      </c>
      <c r="BS22">
        <v>100000004</v>
      </c>
      <c r="BT22" t="s">
        <v>119</v>
      </c>
    </row>
    <row r="23" spans="1:72" x14ac:dyDescent="0.35">
      <c r="A23" s="1">
        <v>45837</v>
      </c>
      <c r="B23" t="s">
        <v>72</v>
      </c>
      <c r="C23">
        <v>12</v>
      </c>
      <c r="D23">
        <v>100000001</v>
      </c>
      <c r="E23">
        <v>4</v>
      </c>
      <c r="F23">
        <v>4</v>
      </c>
      <c r="G23" t="s">
        <v>73</v>
      </c>
      <c r="H23" t="s">
        <v>117</v>
      </c>
      <c r="I23">
        <v>15</v>
      </c>
      <c r="J23">
        <v>163186</v>
      </c>
      <c r="K23">
        <v>98026341</v>
      </c>
      <c r="L23" t="s">
        <v>75</v>
      </c>
      <c r="M23">
        <v>1</v>
      </c>
      <c r="N23">
        <v>2</v>
      </c>
      <c r="O23">
        <v>1</v>
      </c>
      <c r="P23">
        <v>2</v>
      </c>
      <c r="Q23">
        <v>5</v>
      </c>
      <c r="R23">
        <v>0</v>
      </c>
      <c r="S23">
        <v>5</v>
      </c>
      <c r="T23" t="s">
        <v>76</v>
      </c>
      <c r="U23" t="s">
        <v>77</v>
      </c>
      <c r="V23" t="s">
        <v>122</v>
      </c>
      <c r="W23" t="s">
        <v>122</v>
      </c>
      <c r="X23" t="s">
        <v>79</v>
      </c>
      <c r="Y23" t="s">
        <v>80</v>
      </c>
      <c r="Z23" t="s">
        <v>73</v>
      </c>
      <c r="AA23" t="s">
        <v>80</v>
      </c>
      <c r="AB23" t="s">
        <v>80</v>
      </c>
      <c r="AC23" t="s">
        <v>80</v>
      </c>
      <c r="AD23" t="s">
        <v>73</v>
      </c>
      <c r="AE23" t="s">
        <v>73</v>
      </c>
      <c r="AF23" t="s">
        <v>81</v>
      </c>
      <c r="AG23" t="b">
        <v>0</v>
      </c>
      <c r="AH23" t="s">
        <v>73</v>
      </c>
      <c r="AI23" t="s">
        <v>80</v>
      </c>
      <c r="AJ23" t="s">
        <v>82</v>
      </c>
      <c r="AL23">
        <v>1</v>
      </c>
      <c r="AM23">
        <v>0.25</v>
      </c>
      <c r="AN23" t="s">
        <v>83</v>
      </c>
      <c r="AO23" t="s">
        <v>84</v>
      </c>
      <c r="AP23" t="s">
        <v>85</v>
      </c>
      <c r="AQ23" s="1">
        <v>45839</v>
      </c>
      <c r="AR23" s="1">
        <v>45839</v>
      </c>
      <c r="AS23" t="s">
        <v>87</v>
      </c>
      <c r="AT23" t="s">
        <v>87</v>
      </c>
      <c r="AV23" t="s">
        <v>87</v>
      </c>
      <c r="AW23" t="s">
        <v>87</v>
      </c>
      <c r="AX23" t="s">
        <v>87</v>
      </c>
      <c r="AY23" t="s">
        <v>88</v>
      </c>
      <c r="AZ23">
        <v>5</v>
      </c>
      <c r="BA23" cm="1">
        <f t="array" ref="BA23">_xlfn.IFS(AND(AB23 = "N", AA23 = "N", AF23 &lt;&gt; "Concentrated", AC23 = "N",H23="MARGIN_LOAN"), 10,
AND(AB23 = "N", AA23 = "N", AF23 &lt;&gt; "Concentrated", AC23 = "N",H23="SFT"), 5,
AND(AB23 = "N", AA23 = "N", AF23 &lt;&gt; "Concentrated", AC23 = "Y",H23="MARGIN_LOAN"), 20,
AND(AB23 = "N", AA23 = "N", AF23 &lt;&gt; "Concentrated", AC23 = "Y",H23="SFT"), 10,
AND(AB23 = "Y", AA23 = "N", AF23 &lt;&gt; "Concentrated", AC23 = "N"), 20,
AND(AB23 = "Y", AA23 = "N", AF23 &lt;&gt; "Concentrated", AC23 = "Y"), 40,
AND(AB23 = "N",  OR(AA23 = "Y", AF23 = "Concentrated"), AC23 = "N"), 20,
AND(AB23 = "N",  OR(AA23 = "Y", AF23 = "Concentrated"), AC23 = "Y"), 40,
AND(AB23 = "Y",  OR(AA23 = "Y", AF23 = "Concentrated"), AC23 = "N"), 20,
AND(AB23 = "Y",  OR(AA23 = "Y", AF23 = "Concentrated"), AC23 = "Y"), 40)</f>
        <v>20</v>
      </c>
      <c r="BB23">
        <f t="shared" si="0"/>
        <v>20</v>
      </c>
      <c r="BC23">
        <f t="shared" si="4"/>
        <v>5</v>
      </c>
      <c r="BD23">
        <f t="shared" si="2"/>
        <v>5</v>
      </c>
      <c r="BE23">
        <v>5</v>
      </c>
      <c r="BF23">
        <v>1</v>
      </c>
      <c r="BG23" t="str">
        <f t="shared" si="3"/>
        <v>SCENARIO</v>
      </c>
      <c r="BH23" t="s">
        <v>89</v>
      </c>
      <c r="BI23" t="b">
        <v>1</v>
      </c>
      <c r="BJ23">
        <v>1</v>
      </c>
      <c r="BK23">
        <v>1</v>
      </c>
      <c r="BM23" t="s">
        <v>87</v>
      </c>
      <c r="BN23">
        <v>20000</v>
      </c>
      <c r="BP23" s="3">
        <v>1584495.36</v>
      </c>
      <c r="BQ23">
        <v>5</v>
      </c>
      <c r="BR23">
        <v>20</v>
      </c>
      <c r="BS23">
        <v>100000004</v>
      </c>
      <c r="BT23" t="s">
        <v>119</v>
      </c>
    </row>
    <row r="24" spans="1:72" x14ac:dyDescent="0.35">
      <c r="A24" s="1">
        <v>45837</v>
      </c>
      <c r="B24" t="s">
        <v>72</v>
      </c>
      <c r="C24">
        <v>12</v>
      </c>
      <c r="D24">
        <v>100000001</v>
      </c>
      <c r="E24">
        <v>4</v>
      </c>
      <c r="F24">
        <v>4</v>
      </c>
      <c r="G24" t="s">
        <v>73</v>
      </c>
      <c r="H24" t="s">
        <v>117</v>
      </c>
      <c r="I24">
        <v>1</v>
      </c>
      <c r="J24">
        <v>163186</v>
      </c>
      <c r="K24">
        <v>81371583</v>
      </c>
      <c r="L24" t="s">
        <v>75</v>
      </c>
      <c r="M24">
        <v>1</v>
      </c>
      <c r="N24">
        <v>2</v>
      </c>
      <c r="O24">
        <v>1</v>
      </c>
      <c r="P24">
        <v>2</v>
      </c>
      <c r="Q24">
        <v>5</v>
      </c>
      <c r="R24">
        <v>0</v>
      </c>
      <c r="S24">
        <v>40</v>
      </c>
      <c r="T24" t="s">
        <v>76</v>
      </c>
      <c r="U24" t="s">
        <v>77</v>
      </c>
      <c r="V24" t="s">
        <v>123</v>
      </c>
      <c r="W24" t="s">
        <v>123</v>
      </c>
      <c r="X24" t="s">
        <v>79</v>
      </c>
      <c r="Y24" t="s">
        <v>80</v>
      </c>
      <c r="Z24" t="s">
        <v>73</v>
      </c>
      <c r="AA24" t="s">
        <v>73</v>
      </c>
      <c r="AB24" t="s">
        <v>80</v>
      </c>
      <c r="AC24" t="s">
        <v>80</v>
      </c>
      <c r="AD24" t="s">
        <v>73</v>
      </c>
      <c r="AE24" t="s">
        <v>73</v>
      </c>
      <c r="AF24" t="s">
        <v>81</v>
      </c>
      <c r="AG24" t="b">
        <v>0</v>
      </c>
      <c r="AH24" t="s">
        <v>73</v>
      </c>
      <c r="AI24" t="s">
        <v>80</v>
      </c>
      <c r="AJ24" t="s">
        <v>82</v>
      </c>
      <c r="AL24">
        <v>1</v>
      </c>
      <c r="AM24">
        <v>0.25</v>
      </c>
      <c r="AN24" t="s">
        <v>83</v>
      </c>
      <c r="AO24" t="s">
        <v>84</v>
      </c>
      <c r="AP24" t="s">
        <v>85</v>
      </c>
      <c r="AQ24" s="1">
        <v>45839</v>
      </c>
      <c r="AR24" s="1">
        <v>45839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87</v>
      </c>
      <c r="AY24" t="s">
        <v>88</v>
      </c>
      <c r="AZ24">
        <v>5</v>
      </c>
      <c r="BA24" cm="1">
        <f t="array" ref="BA24">_xlfn.IFS(AND(AB24 = "N", AA24 = "N", AF24 &lt;&gt; "Concentrated", AC24 = "N",H24="MARGIN_LOAN"), 10,
AND(AB24 = "N", AA24 = "N", AF24 &lt;&gt; "Concentrated", AC24 = "N",H24="SFT"), 5,
AND(AB24 = "N", AA24 = "N", AF24 &lt;&gt; "Concentrated", AC24 = "Y",H24="MARGIN_LOAN"), 20,
AND(AB24 = "N", AA24 = "N", AF24 &lt;&gt; "Concentrated", AC24 = "Y",H24="SFT"), 10,
AND(AB24 = "Y", AA24 = "N", AF24 &lt;&gt; "Concentrated", AC24 = "N"), 20,
AND(AB24 = "Y", AA24 = "N", AF24 &lt;&gt; "Concentrated", AC24 = "Y"), 40,
AND(AB24 = "N",  OR(AA24 = "Y", AF24 = "Concentrated"), AC24 = "N"), 20,
AND(AB24 = "N",  OR(AA24 = "Y", AF24 = "Concentrated"), AC24 = "Y"), 40,
AND(AB24 = "Y",  OR(AA24 = "Y", AF24 = "Concentrated"), AC24 = "N"), 20,
AND(AB24 = "Y",  OR(AA24 = "Y", AF24 = "Concentrated"), AC24 = "Y"), 40)</f>
        <v>20</v>
      </c>
      <c r="BB24">
        <f t="shared" si="0"/>
        <v>20</v>
      </c>
      <c r="BC24">
        <f t="shared" si="4"/>
        <v>5</v>
      </c>
      <c r="BD24">
        <f t="shared" si="2"/>
        <v>5</v>
      </c>
      <c r="BE24">
        <v>5</v>
      </c>
      <c r="BF24">
        <v>1</v>
      </c>
      <c r="BG24" t="str">
        <f t="shared" si="3"/>
        <v>SCENARIO</v>
      </c>
      <c r="BH24" t="s">
        <v>89</v>
      </c>
      <c r="BI24" t="b">
        <v>1</v>
      </c>
      <c r="BJ24">
        <v>0</v>
      </c>
      <c r="BK24">
        <v>1</v>
      </c>
      <c r="BL24" t="s">
        <v>87</v>
      </c>
      <c r="BM24" t="s">
        <v>87</v>
      </c>
      <c r="BN24">
        <v>20000</v>
      </c>
      <c r="BP24" s="3">
        <v>127622.9662</v>
      </c>
      <c r="BQ24">
        <v>5</v>
      </c>
      <c r="BR24">
        <v>20</v>
      </c>
      <c r="BS24">
        <v>100000004</v>
      </c>
      <c r="BT24" t="s">
        <v>119</v>
      </c>
    </row>
    <row r="25" spans="1:72" x14ac:dyDescent="0.35">
      <c r="A25" s="1">
        <v>45837</v>
      </c>
      <c r="B25" t="s">
        <v>72</v>
      </c>
      <c r="C25">
        <v>12</v>
      </c>
      <c r="D25">
        <v>100000005</v>
      </c>
      <c r="E25">
        <v>5</v>
      </c>
      <c r="F25">
        <v>5</v>
      </c>
      <c r="G25" t="s">
        <v>73</v>
      </c>
      <c r="H25" t="s">
        <v>117</v>
      </c>
      <c r="I25">
        <v>1</v>
      </c>
      <c r="J25">
        <v>163186</v>
      </c>
      <c r="K25">
        <v>34185972</v>
      </c>
      <c r="L25" t="s">
        <v>75</v>
      </c>
      <c r="M25">
        <v>1</v>
      </c>
      <c r="N25">
        <v>2</v>
      </c>
      <c r="O25">
        <v>1</v>
      </c>
      <c r="P25">
        <v>2</v>
      </c>
      <c r="Q25">
        <v>40</v>
      </c>
      <c r="R25">
        <v>20</v>
      </c>
      <c r="S25">
        <v>40</v>
      </c>
      <c r="T25" t="s">
        <v>124</v>
      </c>
      <c r="U25" t="s">
        <v>77</v>
      </c>
      <c r="V25" t="s">
        <v>125</v>
      </c>
      <c r="W25" t="s">
        <v>125</v>
      </c>
      <c r="X25" t="s">
        <v>79</v>
      </c>
      <c r="Y25" t="s">
        <v>80</v>
      </c>
      <c r="Z25" t="s">
        <v>80</v>
      </c>
      <c r="AA25" t="s">
        <v>73</v>
      </c>
      <c r="AB25" t="s">
        <v>80</v>
      </c>
      <c r="AC25" t="s">
        <v>80</v>
      </c>
      <c r="AD25" t="s">
        <v>73</v>
      </c>
      <c r="AE25" t="s">
        <v>80</v>
      </c>
      <c r="AF25" t="s">
        <v>81</v>
      </c>
      <c r="AG25" t="b">
        <v>0</v>
      </c>
      <c r="AH25" t="s">
        <v>73</v>
      </c>
      <c r="AI25" t="s">
        <v>80</v>
      </c>
      <c r="AJ25" t="s">
        <v>82</v>
      </c>
      <c r="AL25">
        <v>1</v>
      </c>
      <c r="AM25">
        <v>0.25</v>
      </c>
      <c r="AN25" t="s">
        <v>98</v>
      </c>
      <c r="AO25" t="s">
        <v>126</v>
      </c>
      <c r="AP25" t="s">
        <v>85</v>
      </c>
      <c r="AQ25" s="1">
        <v>47772</v>
      </c>
      <c r="AR25" s="1">
        <v>47772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88</v>
      </c>
      <c r="AZ25">
        <v>40</v>
      </c>
      <c r="BA25" cm="1">
        <f t="array" ref="BA25">_xlfn.IFS(AND(AB25 = "N", AA25 = "N", AF25 &lt;&gt; "Concentrated", AC25 = "N",H25="MARGIN_LOAN"), 10,
AND(AB25 = "N", AA25 = "N", AF25 &lt;&gt; "Concentrated", AC25 = "N",H25="SFT"), 5,
AND(AB25 = "N", AA25 = "N", AF25 &lt;&gt; "Concentrated", AC25 = "Y",H25="MARGIN_LOAN"), 20,
AND(AB25 = "N", AA25 = "N", AF25 &lt;&gt; "Concentrated", AC25 = "Y",H25="SFT"), 10,
AND(AB25 = "Y", AA25 = "N", AF25 &lt;&gt; "Concentrated", AC25 = "N"), 20,
AND(AB25 = "Y", AA25 = "N", AF25 &lt;&gt; "Concentrated", AC25 = "Y"), 40,
AND(AB25 = "N",  OR(AA25 = "Y", AF25 = "Concentrated"), AC25 = "N"), 20,
AND(AB25 = "N",  OR(AA25 = "Y", AF25 = "Concentrated"), AC25 = "Y"), 40,
AND(AB25 = "Y",  OR(AA25 = "Y", AF25 = "Concentrated"), AC25 = "N"), 20,
AND(AB25 = "Y",  OR(AA25 = "Y", AF25 = "Concentrated"), AC25 = "Y"), 40)</f>
        <v>20</v>
      </c>
      <c r="BB25">
        <f t="shared" si="0"/>
        <v>20</v>
      </c>
      <c r="BC25">
        <f t="shared" si="4"/>
        <v>5</v>
      </c>
      <c r="BD25">
        <f t="shared" si="2"/>
        <v>5</v>
      </c>
      <c r="BE25">
        <v>40</v>
      </c>
      <c r="BF25">
        <v>1</v>
      </c>
      <c r="BG25" t="str">
        <f t="shared" si="3"/>
        <v>SCENARIO</v>
      </c>
      <c r="BH25" t="s">
        <v>110</v>
      </c>
      <c r="BI25" t="b">
        <v>1</v>
      </c>
      <c r="BJ25">
        <v>0</v>
      </c>
      <c r="BK25">
        <v>1</v>
      </c>
      <c r="BL25" t="s">
        <v>87</v>
      </c>
      <c r="BM25" t="s">
        <v>87</v>
      </c>
      <c r="BN25">
        <v>243134</v>
      </c>
      <c r="BO25">
        <v>1807645.81</v>
      </c>
      <c r="BP25" s="4">
        <v>2093791.94</v>
      </c>
      <c r="BQ25">
        <v>5</v>
      </c>
      <c r="BR25">
        <v>40</v>
      </c>
      <c r="BS25">
        <v>100000005</v>
      </c>
      <c r="BT25" t="s">
        <v>127</v>
      </c>
    </row>
    <row r="26" spans="1:72" x14ac:dyDescent="0.35">
      <c r="A26" s="1">
        <v>45837</v>
      </c>
      <c r="B26" t="s">
        <v>72</v>
      </c>
      <c r="C26">
        <v>12</v>
      </c>
      <c r="D26">
        <v>100000005</v>
      </c>
      <c r="E26">
        <v>5</v>
      </c>
      <c r="F26">
        <v>5</v>
      </c>
      <c r="G26" t="s">
        <v>73</v>
      </c>
      <c r="H26" t="s">
        <v>117</v>
      </c>
      <c r="I26">
        <v>1</v>
      </c>
      <c r="J26">
        <v>163186</v>
      </c>
      <c r="K26">
        <v>65720439</v>
      </c>
      <c r="L26" t="s">
        <v>75</v>
      </c>
      <c r="M26">
        <v>1</v>
      </c>
      <c r="N26">
        <v>2</v>
      </c>
      <c r="O26">
        <v>1</v>
      </c>
      <c r="P26">
        <v>2</v>
      </c>
      <c r="Q26">
        <v>40</v>
      </c>
      <c r="R26">
        <v>20</v>
      </c>
      <c r="S26">
        <v>40</v>
      </c>
      <c r="T26" t="s">
        <v>124</v>
      </c>
      <c r="U26" t="s">
        <v>77</v>
      </c>
      <c r="V26" t="s">
        <v>128</v>
      </c>
      <c r="W26" t="s">
        <v>128</v>
      </c>
      <c r="X26" t="s">
        <v>79</v>
      </c>
      <c r="Y26" t="s">
        <v>80</v>
      </c>
      <c r="Z26" t="s">
        <v>80</v>
      </c>
      <c r="AA26" t="s">
        <v>73</v>
      </c>
      <c r="AB26" t="s">
        <v>80</v>
      </c>
      <c r="AC26" t="s">
        <v>80</v>
      </c>
      <c r="AD26" t="s">
        <v>73</v>
      </c>
      <c r="AE26" t="s">
        <v>80</v>
      </c>
      <c r="AF26" t="s">
        <v>81</v>
      </c>
      <c r="AG26" t="b">
        <v>0</v>
      </c>
      <c r="AH26" t="s">
        <v>73</v>
      </c>
      <c r="AI26" t="s">
        <v>80</v>
      </c>
      <c r="AJ26" t="s">
        <v>82</v>
      </c>
      <c r="AL26">
        <v>1</v>
      </c>
      <c r="AM26">
        <v>0.25</v>
      </c>
      <c r="AN26" t="s">
        <v>83</v>
      </c>
      <c r="AO26" t="s">
        <v>126</v>
      </c>
      <c r="AP26" t="s">
        <v>85</v>
      </c>
      <c r="AQ26" s="1">
        <v>47864</v>
      </c>
      <c r="AR26" s="1">
        <v>47864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88</v>
      </c>
      <c r="AZ26">
        <v>40</v>
      </c>
      <c r="BA26" cm="1">
        <f t="array" ref="BA26">_xlfn.IFS(AND(AB26 = "N", AA26 = "N", AF26 &lt;&gt; "Concentrated", AC26 = "N",H26="MARGIN_LOAN"), 10,
AND(AB26 = "N", AA26 = "N", AF26 &lt;&gt; "Concentrated", AC26 = "N",H26="SFT"), 5,
AND(AB26 = "N", AA26 = "N", AF26 &lt;&gt; "Concentrated", AC26 = "Y",H26="MARGIN_LOAN"), 20,
AND(AB26 = "N", AA26 = "N", AF26 &lt;&gt; "Concentrated", AC26 = "Y",H26="SFT"), 10,
AND(AB26 = "Y", AA26 = "N", AF26 &lt;&gt; "Concentrated", AC26 = "N"), 20,
AND(AB26 = "Y", AA26 = "N", AF26 &lt;&gt; "Concentrated", AC26 = "Y"), 40,
AND(AB26 = "N",  OR(AA26 = "Y", AF26 = "Concentrated"), AC26 = "N"), 20,
AND(AB26 = "N",  OR(AA26 = "Y", AF26 = "Concentrated"), AC26 = "Y"), 40,
AND(AB26 = "Y",  OR(AA26 = "Y", AF26 = "Concentrated"), AC26 = "N"), 20,
AND(AB26 = "Y",  OR(AA26 = "Y", AF26 = "Concentrated"), AC26 = "Y"), 40)</f>
        <v>20</v>
      </c>
      <c r="BB26">
        <f t="shared" si="0"/>
        <v>20</v>
      </c>
      <c r="BC26">
        <f t="shared" si="4"/>
        <v>5</v>
      </c>
      <c r="BD26">
        <f t="shared" si="2"/>
        <v>5</v>
      </c>
      <c r="BE26">
        <v>40</v>
      </c>
      <c r="BF26">
        <v>1</v>
      </c>
      <c r="BG26" t="str">
        <f t="shared" si="3"/>
        <v>SCENARIO</v>
      </c>
      <c r="BH26" t="s">
        <v>110</v>
      </c>
      <c r="BI26" t="b">
        <v>1</v>
      </c>
      <c r="BJ26">
        <v>0</v>
      </c>
      <c r="BK26">
        <v>1</v>
      </c>
      <c r="BL26" t="s">
        <v>87</v>
      </c>
      <c r="BM26" t="s">
        <v>87</v>
      </c>
      <c r="BN26">
        <v>18000</v>
      </c>
      <c r="BO26">
        <v>19151760.59</v>
      </c>
      <c r="BP26" s="4">
        <v>17000000</v>
      </c>
      <c r="BQ26">
        <v>5</v>
      </c>
      <c r="BR26">
        <v>40</v>
      </c>
      <c r="BS26">
        <v>100000005</v>
      </c>
      <c r="BT26" t="s">
        <v>127</v>
      </c>
    </row>
    <row r="27" spans="1:72" x14ac:dyDescent="0.35">
      <c r="A27" s="1">
        <v>45837</v>
      </c>
      <c r="B27" t="s">
        <v>72</v>
      </c>
      <c r="C27">
        <v>12</v>
      </c>
      <c r="D27">
        <v>100000005</v>
      </c>
      <c r="E27">
        <v>5</v>
      </c>
      <c r="F27">
        <v>5</v>
      </c>
      <c r="G27" t="s">
        <v>73</v>
      </c>
      <c r="H27" t="s">
        <v>117</v>
      </c>
      <c r="I27">
        <v>1</v>
      </c>
      <c r="J27">
        <v>163186</v>
      </c>
      <c r="K27">
        <v>39684175</v>
      </c>
      <c r="L27" t="s">
        <v>75</v>
      </c>
      <c r="M27">
        <v>1</v>
      </c>
      <c r="N27">
        <v>2</v>
      </c>
      <c r="O27">
        <v>1</v>
      </c>
      <c r="P27">
        <v>2</v>
      </c>
      <c r="Q27">
        <v>20</v>
      </c>
      <c r="R27">
        <v>20</v>
      </c>
      <c r="S27">
        <v>20</v>
      </c>
      <c r="T27" t="s">
        <v>129</v>
      </c>
      <c r="U27" t="s">
        <v>77</v>
      </c>
      <c r="V27" t="s">
        <v>130</v>
      </c>
      <c r="W27" t="s">
        <v>130</v>
      </c>
      <c r="X27" t="s">
        <v>79</v>
      </c>
      <c r="Y27" t="s">
        <v>80</v>
      </c>
      <c r="Z27" t="s">
        <v>80</v>
      </c>
      <c r="AA27" t="s">
        <v>73</v>
      </c>
      <c r="AB27" t="s">
        <v>80</v>
      </c>
      <c r="AC27" t="s">
        <v>80</v>
      </c>
      <c r="AD27" t="s">
        <v>73</v>
      </c>
      <c r="AE27" t="s">
        <v>80</v>
      </c>
      <c r="AF27" t="s">
        <v>81</v>
      </c>
      <c r="AG27" t="b">
        <v>0</v>
      </c>
      <c r="AH27" t="s">
        <v>73</v>
      </c>
      <c r="AI27" t="s">
        <v>80</v>
      </c>
      <c r="AJ27" t="s">
        <v>82</v>
      </c>
      <c r="AL27">
        <v>1</v>
      </c>
      <c r="AM27">
        <v>0.24</v>
      </c>
      <c r="AN27" t="s">
        <v>83</v>
      </c>
      <c r="AO27" t="s">
        <v>131</v>
      </c>
      <c r="AP27" t="s">
        <v>85</v>
      </c>
      <c r="AQ27" s="1">
        <v>11247</v>
      </c>
      <c r="AR27" s="1">
        <v>11247</v>
      </c>
      <c r="AS27" t="s">
        <v>87</v>
      </c>
      <c r="AT27" t="s">
        <v>87</v>
      </c>
      <c r="AU27" t="s">
        <v>87</v>
      </c>
      <c r="AV27" t="s">
        <v>87</v>
      </c>
      <c r="AW27" t="s">
        <v>87</v>
      </c>
      <c r="AX27" t="s">
        <v>87</v>
      </c>
      <c r="AY27" t="s">
        <v>88</v>
      </c>
      <c r="AZ27">
        <v>20</v>
      </c>
      <c r="BA27" cm="1">
        <f t="array" ref="BA27">_xlfn.IFS(AND(AB27 = "N", AA27 = "N", AF27 &lt;&gt; "Concentrated", AC27 = "N",H27="MARGIN_LOAN"), 10,
AND(AB27 = "N", AA27 = "N", AF27 &lt;&gt; "Concentrated", AC27 = "N",H27="SFT"), 5,
AND(AB27 = "N", AA27 = "N", AF27 &lt;&gt; "Concentrated", AC27 = "Y",H27="MARGIN_LOAN"), 20,
AND(AB27 = "N", AA27 = "N", AF27 &lt;&gt; "Concentrated", AC27 = "Y",H27="SFT"), 10,
AND(AB27 = "Y", AA27 = "N", AF27 &lt;&gt; "Concentrated", AC27 = "N"), 20,
AND(AB27 = "Y", AA27 = "N", AF27 &lt;&gt; "Concentrated", AC27 = "Y"), 40,
AND(AB27 = "N",  OR(AA27 = "Y", AF27 = "Concentrated"), AC27 = "N"), 20,
AND(AB27 = "N",  OR(AA27 = "Y", AF27 = "Concentrated"), AC27 = "Y"), 40,
AND(AB27 = "Y",  OR(AA27 = "Y", AF27 = "Concentrated"), AC27 = "N"), 20,
AND(AB27 = "Y",  OR(AA27 = "Y", AF27 = "Concentrated"), AC27 = "Y"), 40)</f>
        <v>20</v>
      </c>
      <c r="BB27">
        <f t="shared" si="0"/>
        <v>20</v>
      </c>
      <c r="BC27">
        <f t="shared" si="4"/>
        <v>5</v>
      </c>
      <c r="BD27">
        <f t="shared" si="2"/>
        <v>5</v>
      </c>
      <c r="BE27">
        <v>20</v>
      </c>
      <c r="BF27">
        <v>1</v>
      </c>
      <c r="BG27" t="str">
        <f t="shared" si="3"/>
        <v>SCENARIO</v>
      </c>
      <c r="BH27" t="s">
        <v>110</v>
      </c>
      <c r="BI27" t="b">
        <v>1</v>
      </c>
      <c r="BJ27">
        <v>0</v>
      </c>
      <c r="BK27">
        <v>1</v>
      </c>
      <c r="BL27" t="s">
        <v>87</v>
      </c>
      <c r="BM27" t="s">
        <v>87</v>
      </c>
      <c r="BN27">
        <v>7000</v>
      </c>
      <c r="BO27">
        <v>31485709.75</v>
      </c>
      <c r="BP27" s="4">
        <v>29468459.190000001</v>
      </c>
      <c r="BQ27">
        <v>5</v>
      </c>
      <c r="BR27">
        <v>20</v>
      </c>
      <c r="BS27">
        <v>100000005</v>
      </c>
      <c r="BT27" t="s">
        <v>127</v>
      </c>
    </row>
    <row r="28" spans="1:72" x14ac:dyDescent="0.35">
      <c r="A28" s="1">
        <v>45837</v>
      </c>
      <c r="B28" t="s">
        <v>72</v>
      </c>
      <c r="C28">
        <v>12</v>
      </c>
      <c r="D28">
        <v>100000005</v>
      </c>
      <c r="E28">
        <v>5</v>
      </c>
      <c r="F28">
        <v>5</v>
      </c>
      <c r="G28" t="s">
        <v>73</v>
      </c>
      <c r="H28" t="s">
        <v>117</v>
      </c>
      <c r="I28">
        <v>1</v>
      </c>
      <c r="J28">
        <v>163186</v>
      </c>
      <c r="K28">
        <v>52319084</v>
      </c>
      <c r="L28" t="s">
        <v>75</v>
      </c>
      <c r="M28">
        <v>1</v>
      </c>
      <c r="N28">
        <v>2</v>
      </c>
      <c r="O28">
        <v>1</v>
      </c>
      <c r="P28">
        <v>2</v>
      </c>
      <c r="Q28">
        <v>20</v>
      </c>
      <c r="R28">
        <v>5</v>
      </c>
      <c r="S28">
        <v>20</v>
      </c>
      <c r="T28" t="s">
        <v>129</v>
      </c>
      <c r="U28" t="s">
        <v>77</v>
      </c>
      <c r="V28" t="s">
        <v>132</v>
      </c>
      <c r="W28" t="s">
        <v>132</v>
      </c>
      <c r="X28" t="s">
        <v>79</v>
      </c>
      <c r="Y28" t="s">
        <v>80</v>
      </c>
      <c r="Z28" t="s">
        <v>80</v>
      </c>
      <c r="AA28" t="s">
        <v>80</v>
      </c>
      <c r="AB28" t="s">
        <v>80</v>
      </c>
      <c r="AC28" t="s">
        <v>80</v>
      </c>
      <c r="AD28" t="s">
        <v>73</v>
      </c>
      <c r="AE28" t="s">
        <v>80</v>
      </c>
      <c r="AF28" t="s">
        <v>81</v>
      </c>
      <c r="AG28" t="b">
        <v>0</v>
      </c>
      <c r="AH28" t="s">
        <v>73</v>
      </c>
      <c r="AI28" t="s">
        <v>80</v>
      </c>
      <c r="AJ28" t="s">
        <v>82</v>
      </c>
      <c r="AL28">
        <v>1</v>
      </c>
      <c r="AM28">
        <v>0.24</v>
      </c>
      <c r="AN28" t="s">
        <v>83</v>
      </c>
      <c r="AO28" t="s">
        <v>131</v>
      </c>
      <c r="AP28" t="s">
        <v>85</v>
      </c>
      <c r="AQ28" s="1">
        <v>47589</v>
      </c>
      <c r="AR28" s="1">
        <v>47589</v>
      </c>
      <c r="AS28" t="s">
        <v>87</v>
      </c>
      <c r="AT28" t="s">
        <v>87</v>
      </c>
      <c r="AU28" t="s">
        <v>87</v>
      </c>
      <c r="AV28" t="s">
        <v>87</v>
      </c>
      <c r="AW28" t="s">
        <v>87</v>
      </c>
      <c r="AX28" t="s">
        <v>87</v>
      </c>
      <c r="AY28" t="s">
        <v>94</v>
      </c>
      <c r="AZ28">
        <v>20</v>
      </c>
      <c r="BA28" cm="1">
        <f t="array" ref="BA28">_xlfn.IFS(AND(AB28 = "N", AA28 = "N", AF28 &lt;&gt; "Concentrated", AC28 = "N",H28="MARGIN_LOAN"), 10,
AND(AB28 = "N", AA28 = "N", AF28 &lt;&gt; "Concentrated", AC28 = "N",H28="SFT"), 5,
AND(AB28 = "N", AA28 = "N", AF28 &lt;&gt; "Concentrated", AC28 = "Y",H28="MARGIN_LOAN"), 20,
AND(AB28 = "N", AA28 = "N", AF28 &lt;&gt; "Concentrated", AC28 = "Y",H28="SFT"), 10,
AND(AB28 = "Y", AA28 = "N", AF28 &lt;&gt; "Concentrated", AC28 = "N"), 20,
AND(AB28 = "Y", AA28 = "N", AF28 &lt;&gt; "Concentrated", AC28 = "Y"), 40,
AND(AB28 = "N",  OR(AA28 = "Y", AF28 = "Concentrated"), AC28 = "N"), 20,
AND(AB28 = "N",  OR(AA28 = "Y", AF28 = "Concentrated"), AC28 = "Y"), 40,
AND(AB28 = "Y",  OR(AA28 = "Y", AF28 = "Concentrated"), AC28 = "N"), 20,
AND(AB28 = "Y",  OR(AA28 = "Y", AF28 = "Concentrated"), AC28 = "Y"), 40)</f>
        <v>20</v>
      </c>
      <c r="BB28">
        <f t="shared" si="0"/>
        <v>20</v>
      </c>
      <c r="BC28">
        <f t="shared" si="4"/>
        <v>5</v>
      </c>
      <c r="BD28">
        <f t="shared" si="2"/>
        <v>5</v>
      </c>
      <c r="BE28">
        <v>20</v>
      </c>
      <c r="BF28">
        <v>1</v>
      </c>
      <c r="BG28" t="str">
        <f t="shared" si="3"/>
        <v>SCENARIO</v>
      </c>
      <c r="BH28" t="s">
        <v>110</v>
      </c>
      <c r="BI28" t="b">
        <v>1</v>
      </c>
      <c r="BJ28">
        <v>1</v>
      </c>
      <c r="BK28">
        <v>1</v>
      </c>
      <c r="BL28" t="s">
        <v>87</v>
      </c>
      <c r="BM28" t="s">
        <v>87</v>
      </c>
      <c r="BN28">
        <v>20000</v>
      </c>
      <c r="BO28">
        <v>1</v>
      </c>
      <c r="BP28" s="4">
        <v>20885570.18</v>
      </c>
      <c r="BQ28">
        <v>5</v>
      </c>
      <c r="BR28">
        <v>20</v>
      </c>
      <c r="BS28">
        <v>100000005</v>
      </c>
      <c r="BT28" t="s">
        <v>127</v>
      </c>
    </row>
    <row r="29" spans="1:72" x14ac:dyDescent="0.35">
      <c r="A29" s="1">
        <v>45837</v>
      </c>
      <c r="B29" t="s">
        <v>72</v>
      </c>
      <c r="C29">
        <v>12</v>
      </c>
      <c r="D29">
        <v>100000005</v>
      </c>
      <c r="E29">
        <v>5</v>
      </c>
      <c r="F29">
        <v>5</v>
      </c>
      <c r="G29" t="s">
        <v>73</v>
      </c>
      <c r="H29" t="s">
        <v>117</v>
      </c>
      <c r="I29">
        <v>1</v>
      </c>
      <c r="J29">
        <v>163186</v>
      </c>
      <c r="K29">
        <v>76921530</v>
      </c>
      <c r="L29" t="s">
        <v>75</v>
      </c>
      <c r="M29">
        <v>1</v>
      </c>
      <c r="N29">
        <v>2</v>
      </c>
      <c r="O29">
        <v>1</v>
      </c>
      <c r="P29">
        <v>2</v>
      </c>
      <c r="Q29">
        <v>20</v>
      </c>
      <c r="R29">
        <v>20</v>
      </c>
      <c r="S29">
        <v>20</v>
      </c>
      <c r="T29" t="s">
        <v>129</v>
      </c>
      <c r="U29" t="s">
        <v>77</v>
      </c>
      <c r="V29" t="s">
        <v>133</v>
      </c>
      <c r="W29" t="s">
        <v>133</v>
      </c>
      <c r="X29" t="s">
        <v>79</v>
      </c>
      <c r="Y29" t="s">
        <v>80</v>
      </c>
      <c r="Z29" t="s">
        <v>80</v>
      </c>
      <c r="AA29" t="s">
        <v>80</v>
      </c>
      <c r="AB29" t="s">
        <v>80</v>
      </c>
      <c r="AC29" t="s">
        <v>80</v>
      </c>
      <c r="AD29" t="s">
        <v>73</v>
      </c>
      <c r="AE29" t="s">
        <v>80</v>
      </c>
      <c r="AF29" t="s">
        <v>81</v>
      </c>
      <c r="AG29" t="b">
        <v>0</v>
      </c>
      <c r="AH29" t="s">
        <v>73</v>
      </c>
      <c r="AI29" t="s">
        <v>80</v>
      </c>
      <c r="AJ29" t="s">
        <v>82</v>
      </c>
      <c r="AL29">
        <v>1</v>
      </c>
      <c r="AM29">
        <v>0.24</v>
      </c>
      <c r="AN29" t="s">
        <v>98</v>
      </c>
      <c r="AO29" t="s">
        <v>131</v>
      </c>
      <c r="AP29" t="s">
        <v>85</v>
      </c>
      <c r="AQ29" s="1">
        <v>47589</v>
      </c>
      <c r="AR29" s="1">
        <v>47589</v>
      </c>
      <c r="AS29" t="s">
        <v>87</v>
      </c>
      <c r="AT29" t="s">
        <v>87</v>
      </c>
      <c r="AU29" t="s">
        <v>87</v>
      </c>
      <c r="AV29" t="s">
        <v>87</v>
      </c>
      <c r="AW29" t="s">
        <v>87</v>
      </c>
      <c r="AX29" t="s">
        <v>87</v>
      </c>
      <c r="AY29" t="s">
        <v>94</v>
      </c>
      <c r="AZ29">
        <v>20</v>
      </c>
      <c r="BA29" cm="1">
        <f t="array" ref="BA29">_xlfn.IFS(AND(AB29 = "N", AA29 = "N", AF29 &lt;&gt; "Concentrated", AC29 = "N",H29="MARGIN_LOAN"), 10,
AND(AB29 = "N", AA29 = "N", AF29 &lt;&gt; "Concentrated", AC29 = "N",H29="SFT"), 5,
AND(AB29 = "N", AA29 = "N", AF29 &lt;&gt; "Concentrated", AC29 = "Y",H29="MARGIN_LOAN"), 20,
AND(AB29 = "N", AA29 = "N", AF29 &lt;&gt; "Concentrated", AC29 = "Y",H29="SFT"), 10,
AND(AB29 = "Y", AA29 = "N", AF29 &lt;&gt; "Concentrated", AC29 = "N"), 20,
AND(AB29 = "Y", AA29 = "N", AF29 &lt;&gt; "Concentrated", AC29 = "Y"), 40,
AND(AB29 = "N",  OR(AA29 = "Y", AF29 = "Concentrated"), AC29 = "N"), 20,
AND(AB29 = "N",  OR(AA29 = "Y", AF29 = "Concentrated"), AC29 = "Y"), 40,
AND(AB29 = "Y",  OR(AA29 = "Y", AF29 = "Concentrated"), AC29 = "N"), 20,
AND(AB29 = "Y",  OR(AA29 = "Y", AF29 = "Concentrated"), AC29 = "Y"), 40)</f>
        <v>20</v>
      </c>
      <c r="BB29">
        <f t="shared" si="0"/>
        <v>20</v>
      </c>
      <c r="BC29">
        <f t="shared" si="4"/>
        <v>5</v>
      </c>
      <c r="BD29">
        <f t="shared" si="2"/>
        <v>5</v>
      </c>
      <c r="BE29">
        <v>20</v>
      </c>
      <c r="BF29">
        <v>1</v>
      </c>
      <c r="BG29" t="str">
        <f t="shared" si="3"/>
        <v>SCENARIO</v>
      </c>
      <c r="BH29" t="s">
        <v>110</v>
      </c>
      <c r="BI29" t="b">
        <v>1</v>
      </c>
      <c r="BJ29">
        <v>1</v>
      </c>
      <c r="BK29">
        <v>1</v>
      </c>
      <c r="BL29" t="s">
        <v>87</v>
      </c>
      <c r="BM29" t="s">
        <v>87</v>
      </c>
      <c r="BN29">
        <v>12341</v>
      </c>
      <c r="BO29">
        <v>1</v>
      </c>
      <c r="BP29" s="4">
        <v>2001800</v>
      </c>
      <c r="BQ29">
        <v>5</v>
      </c>
      <c r="BR29">
        <v>20</v>
      </c>
      <c r="BS29">
        <v>100000005</v>
      </c>
      <c r="BT29" t="s">
        <v>127</v>
      </c>
    </row>
    <row r="30" spans="1:72" x14ac:dyDescent="0.35">
      <c r="A30" s="1">
        <v>45837</v>
      </c>
      <c r="B30" t="s">
        <v>72</v>
      </c>
      <c r="C30">
        <v>12</v>
      </c>
      <c r="D30">
        <v>100000001</v>
      </c>
      <c r="E30">
        <v>6</v>
      </c>
      <c r="F30">
        <v>6</v>
      </c>
      <c r="G30" t="s">
        <v>73</v>
      </c>
      <c r="H30" t="s">
        <v>117</v>
      </c>
      <c r="I30">
        <v>1</v>
      </c>
      <c r="J30">
        <v>163186</v>
      </c>
      <c r="K30">
        <v>63057489</v>
      </c>
      <c r="L30" t="s">
        <v>75</v>
      </c>
      <c r="M30">
        <v>1</v>
      </c>
      <c r="N30">
        <v>2</v>
      </c>
      <c r="O30">
        <v>1</v>
      </c>
      <c r="P30">
        <v>2</v>
      </c>
      <c r="Q30">
        <v>5</v>
      </c>
      <c r="R30">
        <v>0</v>
      </c>
      <c r="S30">
        <v>5</v>
      </c>
      <c r="T30" t="s">
        <v>76</v>
      </c>
      <c r="U30" t="s">
        <v>77</v>
      </c>
      <c r="V30" t="s">
        <v>134</v>
      </c>
      <c r="W30" t="s">
        <v>134</v>
      </c>
      <c r="X30" t="s">
        <v>79</v>
      </c>
      <c r="Y30" t="s">
        <v>80</v>
      </c>
      <c r="Z30" t="s">
        <v>73</v>
      </c>
      <c r="AA30" t="s">
        <v>80</v>
      </c>
      <c r="AB30" t="s">
        <v>80</v>
      </c>
      <c r="AC30" t="s">
        <v>80</v>
      </c>
      <c r="AD30" t="s">
        <v>73</v>
      </c>
      <c r="AE30" t="s">
        <v>73</v>
      </c>
      <c r="AF30" t="s">
        <v>81</v>
      </c>
      <c r="AG30" t="b">
        <v>0</v>
      </c>
      <c r="AH30" t="s">
        <v>73</v>
      </c>
      <c r="AI30" t="s">
        <v>80</v>
      </c>
      <c r="AJ30" t="s">
        <v>82</v>
      </c>
      <c r="AL30">
        <v>1</v>
      </c>
      <c r="AM30">
        <v>0.15</v>
      </c>
      <c r="AN30" t="s">
        <v>83</v>
      </c>
      <c r="AO30" t="s">
        <v>84</v>
      </c>
      <c r="AP30" t="s">
        <v>85</v>
      </c>
      <c r="AQ30" s="1">
        <v>45839</v>
      </c>
      <c r="AR30" s="1">
        <v>45839</v>
      </c>
      <c r="AS30" t="s">
        <v>87</v>
      </c>
      <c r="AT30" t="s">
        <v>87</v>
      </c>
      <c r="AU30" t="s">
        <v>87</v>
      </c>
      <c r="AV30" t="s">
        <v>87</v>
      </c>
      <c r="AW30" t="s">
        <v>87</v>
      </c>
      <c r="AX30" t="s">
        <v>87</v>
      </c>
      <c r="AY30" t="s">
        <v>88</v>
      </c>
      <c r="AZ30">
        <v>5</v>
      </c>
      <c r="BA30" cm="1">
        <f t="array" ref="BA30">_xlfn.IFS(AND(AB30 = "N", AA30 = "N", AF30 &lt;&gt; "Concentrated", AC30 = "N",H30="MARGIN_LOAN"), 10,
AND(AB30 = "N", AA30 = "N", AF30 &lt;&gt; "Concentrated", AC30 = "N",H30="SFT"), 5,
AND(AB30 = "N", AA30 = "N", AF30 &lt;&gt; "Concentrated", AC30 = "Y",H30="MARGIN_LOAN"), 20,
AND(AB30 = "N", AA30 = "N", AF30 &lt;&gt; "Concentrated", AC30 = "Y",H30="SFT"), 10,
AND(AB30 = "Y", AA30 = "N", AF30 &lt;&gt; "Concentrated", AC30 = "N"), 20,
AND(AB30 = "Y", AA30 = "N", AF30 &lt;&gt; "Concentrated", AC30 = "Y"), 40,
AND(AB30 = "N",  OR(AA30 = "Y", AF30 = "Concentrated"), AC30 = "N"), 20,
AND(AB30 = "N",  OR(AA30 = "Y", AF30 = "Concentrated"), AC30 = "Y"), 40,
AND(AB30 = "Y",  OR(AA30 = "Y", AF30 = "Concentrated"), AC30 = "N"), 20,
AND(AB30 = "Y",  OR(AA30 = "Y", AF30 = "Concentrated"), AC30 = "Y"), 40)</f>
        <v>20</v>
      </c>
      <c r="BB30">
        <f t="shared" si="0"/>
        <v>20</v>
      </c>
      <c r="BC30">
        <f t="shared" si="4"/>
        <v>5</v>
      </c>
      <c r="BD30">
        <f t="shared" si="2"/>
        <v>5</v>
      </c>
      <c r="BE30">
        <v>5</v>
      </c>
      <c r="BF30">
        <v>1</v>
      </c>
      <c r="BG30" t="str">
        <f t="shared" si="3"/>
        <v>SCENARIO</v>
      </c>
      <c r="BH30" t="s">
        <v>89</v>
      </c>
      <c r="BI30" t="b">
        <v>1</v>
      </c>
      <c r="BJ30">
        <v>1</v>
      </c>
      <c r="BK30">
        <v>1</v>
      </c>
      <c r="BL30" t="s">
        <v>87</v>
      </c>
      <c r="BM30" t="s">
        <v>87</v>
      </c>
      <c r="BN30">
        <v>10000</v>
      </c>
      <c r="BO30">
        <v>0</v>
      </c>
      <c r="BP30" s="4">
        <v>770909</v>
      </c>
      <c r="BQ30">
        <v>5</v>
      </c>
      <c r="BR30">
        <v>20</v>
      </c>
      <c r="BS30">
        <v>100000006</v>
      </c>
      <c r="BT30" t="s">
        <v>135</v>
      </c>
    </row>
    <row r="31" spans="1:72" x14ac:dyDescent="0.35">
      <c r="A31" s="1">
        <v>45837</v>
      </c>
      <c r="B31" t="s">
        <v>72</v>
      </c>
      <c r="C31">
        <v>12</v>
      </c>
      <c r="D31">
        <v>100000001</v>
      </c>
      <c r="E31">
        <v>6</v>
      </c>
      <c r="F31">
        <v>6</v>
      </c>
      <c r="G31" t="s">
        <v>73</v>
      </c>
      <c r="H31" t="s">
        <v>117</v>
      </c>
      <c r="I31">
        <v>15</v>
      </c>
      <c r="J31">
        <v>163186</v>
      </c>
      <c r="K31">
        <v>15842976</v>
      </c>
      <c r="L31" t="s">
        <v>75</v>
      </c>
      <c r="M31">
        <v>1</v>
      </c>
      <c r="N31">
        <v>2</v>
      </c>
      <c r="O31">
        <v>1</v>
      </c>
      <c r="P31">
        <v>2</v>
      </c>
      <c r="Q31">
        <v>5</v>
      </c>
      <c r="R31">
        <v>0</v>
      </c>
      <c r="S31">
        <v>5</v>
      </c>
      <c r="T31" t="s">
        <v>76</v>
      </c>
      <c r="U31" t="s">
        <v>77</v>
      </c>
      <c r="V31" t="s">
        <v>136</v>
      </c>
      <c r="W31" t="s">
        <v>136</v>
      </c>
      <c r="X31" t="s">
        <v>79</v>
      </c>
      <c r="Y31" t="s">
        <v>80</v>
      </c>
      <c r="Z31" t="s">
        <v>73</v>
      </c>
      <c r="AA31" t="s">
        <v>80</v>
      </c>
      <c r="AB31" t="s">
        <v>80</v>
      </c>
      <c r="AC31" t="s">
        <v>80</v>
      </c>
      <c r="AD31" t="s">
        <v>73</v>
      </c>
      <c r="AE31" t="s">
        <v>73</v>
      </c>
      <c r="AF31" t="s">
        <v>81</v>
      </c>
      <c r="AG31" t="b">
        <v>0</v>
      </c>
      <c r="AH31" t="s">
        <v>73</v>
      </c>
      <c r="AI31" t="s">
        <v>80</v>
      </c>
      <c r="AJ31" t="s">
        <v>82</v>
      </c>
      <c r="AL31">
        <v>1</v>
      </c>
      <c r="AM31">
        <v>0.25</v>
      </c>
      <c r="AN31" t="s">
        <v>83</v>
      </c>
      <c r="AO31" t="s">
        <v>84</v>
      </c>
      <c r="AP31" t="s">
        <v>85</v>
      </c>
      <c r="AQ31" s="1">
        <v>45839</v>
      </c>
      <c r="AR31" s="1">
        <v>45839</v>
      </c>
      <c r="AS31" t="s">
        <v>87</v>
      </c>
      <c r="AT31" t="s">
        <v>87</v>
      </c>
      <c r="AU31" t="s">
        <v>87</v>
      </c>
      <c r="AW31" t="s">
        <v>87</v>
      </c>
      <c r="AX31" t="s">
        <v>87</v>
      </c>
      <c r="AY31" t="s">
        <v>94</v>
      </c>
      <c r="AZ31">
        <v>5</v>
      </c>
      <c r="BA31" cm="1">
        <f t="array" ref="BA31">_xlfn.IFS(AND(AB31 = "N", AA31 = "N", AF31 &lt;&gt; "Concentrated", AC31 = "N",H31="MARGIN_LOAN"), 10,
AND(AB31 = "N", AA31 = "N", AF31 &lt;&gt; "Concentrated", AC31 = "N",H31="SFT"), 5,
AND(AB31 = "N", AA31 = "N", AF31 &lt;&gt; "Concentrated", AC31 = "Y",H31="MARGIN_LOAN"), 20,
AND(AB31 = "N", AA31 = "N", AF31 &lt;&gt; "Concentrated", AC31 = "Y",H31="SFT"), 10,
AND(AB31 = "Y", AA31 = "N", AF31 &lt;&gt; "Concentrated", AC31 = "N"), 20,
AND(AB31 = "Y", AA31 = "N", AF31 &lt;&gt; "Concentrated", AC31 = "Y"), 40,
AND(AB31 = "N",  OR(AA31 = "Y", AF31 = "Concentrated"), AC31 = "N"), 20,
AND(AB31 = "N",  OR(AA31 = "Y", AF31 = "Concentrated"), AC31 = "Y"), 40,
AND(AB31 = "Y",  OR(AA31 = "Y", AF31 = "Concentrated"), AC31 = "N"), 20,
AND(AB31 = "Y",  OR(AA31 = "Y", AF31 = "Concentrated"), AC31 = "Y"), 40)</f>
        <v>20</v>
      </c>
      <c r="BB31">
        <f t="shared" si="0"/>
        <v>20</v>
      </c>
      <c r="BC31">
        <f t="shared" si="4"/>
        <v>5</v>
      </c>
      <c r="BD31">
        <f t="shared" si="2"/>
        <v>5</v>
      </c>
      <c r="BE31">
        <v>5</v>
      </c>
      <c r="BF31">
        <v>1</v>
      </c>
      <c r="BG31" t="str">
        <f t="shared" si="3"/>
        <v>SCENARIO</v>
      </c>
      <c r="BH31" t="s">
        <v>89</v>
      </c>
      <c r="BI31" t="b">
        <v>1</v>
      </c>
      <c r="BJ31">
        <v>1</v>
      </c>
      <c r="BK31">
        <v>1</v>
      </c>
      <c r="BL31" t="s">
        <v>87</v>
      </c>
      <c r="BN31">
        <v>10000</v>
      </c>
      <c r="BO31">
        <v>0</v>
      </c>
      <c r="BP31" s="4">
        <v>4082837</v>
      </c>
      <c r="BQ31">
        <v>5</v>
      </c>
      <c r="BR31">
        <v>20</v>
      </c>
      <c r="BS31">
        <v>100000006</v>
      </c>
      <c r="BT31" t="s">
        <v>135</v>
      </c>
    </row>
    <row r="32" spans="1:72" x14ac:dyDescent="0.35">
      <c r="A32" s="1">
        <v>45837</v>
      </c>
      <c r="B32" t="s">
        <v>72</v>
      </c>
      <c r="C32">
        <v>12</v>
      </c>
      <c r="D32">
        <v>100000001</v>
      </c>
      <c r="E32">
        <v>6</v>
      </c>
      <c r="F32">
        <v>6</v>
      </c>
      <c r="G32" t="s">
        <v>73</v>
      </c>
      <c r="H32" t="s">
        <v>117</v>
      </c>
      <c r="I32">
        <v>1</v>
      </c>
      <c r="J32">
        <v>163186</v>
      </c>
      <c r="K32">
        <v>29753014</v>
      </c>
      <c r="L32" t="s">
        <v>75</v>
      </c>
      <c r="M32">
        <v>1</v>
      </c>
      <c r="N32">
        <v>2</v>
      </c>
      <c r="O32">
        <v>1</v>
      </c>
      <c r="P32">
        <v>2</v>
      </c>
      <c r="Q32">
        <v>5</v>
      </c>
      <c r="R32">
        <v>0</v>
      </c>
      <c r="S32">
        <v>5</v>
      </c>
      <c r="T32" t="s">
        <v>76</v>
      </c>
      <c r="U32" t="s">
        <v>77</v>
      </c>
      <c r="V32" t="s">
        <v>137</v>
      </c>
      <c r="W32" t="s">
        <v>137</v>
      </c>
      <c r="X32" t="s">
        <v>79</v>
      </c>
      <c r="Y32" t="s">
        <v>80</v>
      </c>
      <c r="Z32" t="s">
        <v>73</v>
      </c>
      <c r="AA32" t="s">
        <v>80</v>
      </c>
      <c r="AB32" t="s">
        <v>80</v>
      </c>
      <c r="AC32" t="s">
        <v>80</v>
      </c>
      <c r="AD32" t="s">
        <v>73</v>
      </c>
      <c r="AE32" t="s">
        <v>73</v>
      </c>
      <c r="AF32" t="s">
        <v>81</v>
      </c>
      <c r="AG32" t="b">
        <v>0</v>
      </c>
      <c r="AH32" t="s">
        <v>73</v>
      </c>
      <c r="AI32" t="s">
        <v>80</v>
      </c>
      <c r="AJ32" t="s">
        <v>82</v>
      </c>
      <c r="AL32">
        <v>1</v>
      </c>
      <c r="AM32">
        <v>0.25</v>
      </c>
      <c r="AN32" t="s">
        <v>83</v>
      </c>
      <c r="AO32" t="s">
        <v>84</v>
      </c>
      <c r="AP32" t="s">
        <v>85</v>
      </c>
      <c r="AQ32" s="1">
        <v>45839</v>
      </c>
      <c r="AR32" s="1">
        <v>45839</v>
      </c>
      <c r="AS32" t="s">
        <v>87</v>
      </c>
      <c r="AT32" t="s">
        <v>87</v>
      </c>
      <c r="AU32" t="s">
        <v>87</v>
      </c>
      <c r="AV32" t="s">
        <v>87</v>
      </c>
      <c r="AW32" t="s">
        <v>87</v>
      </c>
      <c r="AX32" t="s">
        <v>87</v>
      </c>
      <c r="AY32" t="s">
        <v>94</v>
      </c>
      <c r="AZ32">
        <v>5</v>
      </c>
      <c r="BA32" cm="1">
        <f t="array" ref="BA32">_xlfn.IFS(AND(AB32 = "N", AA32 = "N", AF32 &lt;&gt; "Concentrated", AC32 = "N",H32="MARGIN_LOAN"), 10,
AND(AB32 = "N", AA32 = "N", AF32 &lt;&gt; "Concentrated", AC32 = "N",H32="SFT"), 5,
AND(AB32 = "N", AA32 = "N", AF32 &lt;&gt; "Concentrated", AC32 = "Y",H32="MARGIN_LOAN"), 20,
AND(AB32 = "N", AA32 = "N", AF32 &lt;&gt; "Concentrated", AC32 = "Y",H32="SFT"), 10,
AND(AB32 = "Y", AA32 = "N", AF32 &lt;&gt; "Concentrated", AC32 = "N"), 20,
AND(AB32 = "Y", AA32 = "N", AF32 &lt;&gt; "Concentrated", AC32 = "Y"), 40,
AND(AB32 = "N",  OR(AA32 = "Y", AF32 = "Concentrated"), AC32 = "N"), 20,
AND(AB32 = "N",  OR(AA32 = "Y", AF32 = "Concentrated"), AC32 = "Y"), 40,
AND(AB32 = "Y",  OR(AA32 = "Y", AF32 = "Concentrated"), AC32 = "N"), 20,
AND(AB32 = "Y",  OR(AA32 = "Y", AF32 = "Concentrated"), AC32 = "Y"), 40)</f>
        <v>20</v>
      </c>
      <c r="BB32">
        <f t="shared" si="0"/>
        <v>20</v>
      </c>
      <c r="BC32">
        <f t="shared" si="4"/>
        <v>5</v>
      </c>
      <c r="BD32">
        <f t="shared" si="2"/>
        <v>5</v>
      </c>
      <c r="BE32">
        <v>5</v>
      </c>
      <c r="BF32">
        <v>1</v>
      </c>
      <c r="BG32" t="str">
        <f t="shared" si="3"/>
        <v>SCENARIO</v>
      </c>
      <c r="BH32" t="s">
        <v>89</v>
      </c>
      <c r="BI32" t="b">
        <v>1</v>
      </c>
      <c r="BJ32">
        <v>1</v>
      </c>
      <c r="BK32">
        <v>1</v>
      </c>
      <c r="BL32" t="s">
        <v>87</v>
      </c>
      <c r="BM32" t="s">
        <v>87</v>
      </c>
      <c r="BN32">
        <v>10000</v>
      </c>
      <c r="BO32">
        <v>0</v>
      </c>
      <c r="BP32" s="4">
        <v>1777799</v>
      </c>
      <c r="BQ32">
        <v>5</v>
      </c>
      <c r="BR32">
        <v>20</v>
      </c>
      <c r="BS32">
        <v>100000006</v>
      </c>
      <c r="BT32" t="s">
        <v>135</v>
      </c>
    </row>
    <row r="33" spans="1:72" x14ac:dyDescent="0.35">
      <c r="A33" s="1">
        <v>45837</v>
      </c>
      <c r="B33" t="s">
        <v>72</v>
      </c>
      <c r="C33">
        <v>12</v>
      </c>
      <c r="D33">
        <v>100000001</v>
      </c>
      <c r="E33">
        <v>7</v>
      </c>
      <c r="F33">
        <v>7</v>
      </c>
      <c r="G33" t="s">
        <v>73</v>
      </c>
      <c r="H33" t="s">
        <v>117</v>
      </c>
      <c r="I33">
        <v>1</v>
      </c>
      <c r="J33">
        <v>163186</v>
      </c>
      <c r="K33">
        <v>84579230</v>
      </c>
      <c r="L33" t="s">
        <v>75</v>
      </c>
      <c r="M33">
        <v>1</v>
      </c>
      <c r="N33">
        <v>2</v>
      </c>
      <c r="O33">
        <v>1</v>
      </c>
      <c r="P33">
        <v>2</v>
      </c>
      <c r="Q33">
        <v>40</v>
      </c>
      <c r="R33">
        <v>20</v>
      </c>
      <c r="S33">
        <v>40</v>
      </c>
      <c r="T33" t="s">
        <v>124</v>
      </c>
      <c r="U33" t="s">
        <v>77</v>
      </c>
      <c r="V33" t="s">
        <v>138</v>
      </c>
      <c r="W33" t="s">
        <v>138</v>
      </c>
      <c r="X33" t="s">
        <v>79</v>
      </c>
      <c r="Y33" t="s">
        <v>80</v>
      </c>
      <c r="Z33" t="s">
        <v>80</v>
      </c>
      <c r="AA33" t="s">
        <v>73</v>
      </c>
      <c r="AB33" t="s">
        <v>80</v>
      </c>
      <c r="AC33" t="s">
        <v>80</v>
      </c>
      <c r="AD33" t="s">
        <v>73</v>
      </c>
      <c r="AE33" t="s">
        <v>80</v>
      </c>
      <c r="AF33" t="s">
        <v>81</v>
      </c>
      <c r="AG33" t="b">
        <v>0</v>
      </c>
      <c r="AH33" t="s">
        <v>80</v>
      </c>
      <c r="AI33" t="s">
        <v>80</v>
      </c>
      <c r="AJ33" t="s">
        <v>82</v>
      </c>
      <c r="AL33">
        <v>1</v>
      </c>
      <c r="AM33">
        <v>0.25</v>
      </c>
      <c r="AN33" t="s">
        <v>83</v>
      </c>
      <c r="AO33" t="s">
        <v>139</v>
      </c>
      <c r="AP33" t="s">
        <v>85</v>
      </c>
      <c r="AQ33" s="1">
        <v>46139</v>
      </c>
      <c r="AR33" s="1">
        <v>46139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88</v>
      </c>
      <c r="AZ33">
        <v>40</v>
      </c>
      <c r="BA33" cm="1">
        <f t="array" ref="BA33">_xlfn.IFS(AND(AB33 = "N", AA33 = "N", AF33 &lt;&gt; "Concentrated", AC33 = "N",H33="MARGIN_LOAN"), 10,
AND(AB33 = "N", AA33 = "N", AF33 &lt;&gt; "Concentrated", AC33 = "N",H33="SFT"), 5,
AND(AB33 = "N", AA33 = "N", AF33 &lt;&gt; "Concentrated", AC33 = "Y",H33="MARGIN_LOAN"), 20,
AND(AB33 = "N", AA33 = "N", AF33 &lt;&gt; "Concentrated", AC33 = "Y",H33="SFT"), 10,
AND(AB33 = "Y", AA33 = "N", AF33 &lt;&gt; "Concentrated", AC33 = "N"), 20,
AND(AB33 = "Y", AA33 = "N", AF33 &lt;&gt; "Concentrated", AC33 = "Y"), 40,
AND(AB33 = "N",  OR(AA33 = "Y", AF33 = "Concentrated"), AC33 = "N"), 20,
AND(AB33 = "N",  OR(AA33 = "Y", AF33 = "Concentrated"), AC33 = "Y"), 40,
AND(AB33 = "Y",  OR(AA33 = "Y", AF33 = "Concentrated"), AC33 = "N"), 20,
AND(AB33 = "Y",  OR(AA33 = "Y", AF33 = "Concentrated"), AC33 = "Y"), 40)</f>
        <v>20</v>
      </c>
      <c r="BB33">
        <f t="shared" si="0"/>
        <v>20</v>
      </c>
      <c r="BC33">
        <f t="shared" si="4"/>
        <v>5</v>
      </c>
      <c r="BD33">
        <f t="shared" si="2"/>
        <v>5</v>
      </c>
      <c r="BE33">
        <v>40</v>
      </c>
      <c r="BF33">
        <v>1</v>
      </c>
      <c r="BG33" t="str">
        <f t="shared" si="3"/>
        <v>SCENARIO</v>
      </c>
      <c r="BH33" t="s">
        <v>110</v>
      </c>
      <c r="BI33" t="b">
        <v>1</v>
      </c>
      <c r="BJ33">
        <v>0</v>
      </c>
      <c r="BK33">
        <v>1</v>
      </c>
      <c r="BL33" t="s">
        <v>87</v>
      </c>
      <c r="BM33" t="s">
        <v>87</v>
      </c>
      <c r="BN33">
        <v>231442</v>
      </c>
      <c r="BO33">
        <v>128352840</v>
      </c>
      <c r="BP33" s="4">
        <v>176393615</v>
      </c>
      <c r="BQ33">
        <v>5</v>
      </c>
      <c r="BR33">
        <v>40</v>
      </c>
      <c r="BS33">
        <v>100000007</v>
      </c>
      <c r="BT33" t="s">
        <v>140</v>
      </c>
    </row>
    <row r="34" spans="1:72" x14ac:dyDescent="0.35">
      <c r="A34" s="1">
        <v>45837</v>
      </c>
      <c r="B34" t="s">
        <v>72</v>
      </c>
      <c r="C34">
        <v>12</v>
      </c>
      <c r="D34">
        <v>100000001</v>
      </c>
      <c r="E34">
        <v>7</v>
      </c>
      <c r="F34">
        <v>7</v>
      </c>
      <c r="G34" t="s">
        <v>73</v>
      </c>
      <c r="H34" t="s">
        <v>117</v>
      </c>
      <c r="I34">
        <v>1</v>
      </c>
      <c r="J34">
        <v>163186</v>
      </c>
      <c r="K34">
        <v>90463182</v>
      </c>
      <c r="L34" t="s">
        <v>75</v>
      </c>
      <c r="M34">
        <v>1</v>
      </c>
      <c r="N34">
        <v>2</v>
      </c>
      <c r="O34">
        <v>1</v>
      </c>
      <c r="P34">
        <v>2</v>
      </c>
      <c r="Q34">
        <v>5</v>
      </c>
      <c r="R34">
        <v>0</v>
      </c>
      <c r="S34">
        <v>5</v>
      </c>
      <c r="T34" t="s">
        <v>76</v>
      </c>
      <c r="U34" t="s">
        <v>77</v>
      </c>
      <c r="V34" t="s">
        <v>141</v>
      </c>
      <c r="W34" t="s">
        <v>141</v>
      </c>
      <c r="X34" t="s">
        <v>79</v>
      </c>
      <c r="Y34" t="s">
        <v>80</v>
      </c>
      <c r="Z34" t="s">
        <v>80</v>
      </c>
      <c r="AA34" t="s">
        <v>80</v>
      </c>
      <c r="AB34" t="s">
        <v>80</v>
      </c>
      <c r="AC34" t="s">
        <v>80</v>
      </c>
      <c r="AD34" t="s">
        <v>73</v>
      </c>
      <c r="AE34" t="s">
        <v>80</v>
      </c>
      <c r="AF34" t="s">
        <v>81</v>
      </c>
      <c r="AG34" t="b">
        <v>0</v>
      </c>
      <c r="AH34" t="s">
        <v>73</v>
      </c>
      <c r="AI34" t="s">
        <v>80</v>
      </c>
      <c r="AJ34" t="s">
        <v>82</v>
      </c>
      <c r="AL34">
        <v>1</v>
      </c>
      <c r="AM34">
        <v>0</v>
      </c>
      <c r="AN34" t="s">
        <v>83</v>
      </c>
      <c r="AO34" t="s">
        <v>142</v>
      </c>
      <c r="AP34" t="s">
        <v>85</v>
      </c>
      <c r="AQ34" s="1">
        <v>1</v>
      </c>
      <c r="AS34" t="s">
        <v>87</v>
      </c>
      <c r="AT34" t="s">
        <v>87</v>
      </c>
      <c r="AU34" t="s">
        <v>87</v>
      </c>
      <c r="AV34" t="s">
        <v>87</v>
      </c>
      <c r="AW34" t="s">
        <v>87</v>
      </c>
      <c r="AX34" t="s">
        <v>87</v>
      </c>
      <c r="AY34" t="s">
        <v>94</v>
      </c>
      <c r="AZ34">
        <v>20</v>
      </c>
      <c r="BA34" cm="1">
        <f t="array" ref="BA34">_xlfn.IFS(AND(AB34 = "N", AA34 = "N", AF34 &lt;&gt; "Concentrated", AC34 = "N",H34="MARGIN_LOAN"), 10,
AND(AB34 = "N", AA34 = "N", AF34 &lt;&gt; "Concentrated", AC34 = "N",H34="SFT"), 5,
AND(AB34 = "N", AA34 = "N", AF34 &lt;&gt; "Concentrated", AC34 = "Y",H34="MARGIN_LOAN"), 20,
AND(AB34 = "N", AA34 = "N", AF34 &lt;&gt; "Concentrated", AC34 = "Y",H34="SFT"), 10,
AND(AB34 = "Y", AA34 = "N", AF34 &lt;&gt; "Concentrated", AC34 = "N"), 20,
AND(AB34 = "Y", AA34 = "N", AF34 &lt;&gt; "Concentrated", AC34 = "Y"), 40,
AND(AB34 = "N",  OR(AA34 = "Y", AF34 = "Concentrated"), AC34 = "N"), 20,
AND(AB34 = "N",  OR(AA34 = "Y", AF34 = "Concentrated"), AC34 = "Y"), 40,
AND(AB34 = "Y",  OR(AA34 = "Y", AF34 = "Concentrated"), AC34 = "N"), 20,
AND(AB34 = "Y",  OR(AA34 = "Y", AF34 = "Concentrated"), AC34 = "Y"), 40)</f>
        <v>20</v>
      </c>
      <c r="BB34">
        <f t="shared" si="0"/>
        <v>20</v>
      </c>
      <c r="BC34">
        <f t="shared" si="4"/>
        <v>5</v>
      </c>
      <c r="BD34">
        <f t="shared" si="2"/>
        <v>5</v>
      </c>
      <c r="BE34">
        <v>20</v>
      </c>
      <c r="BF34">
        <v>1</v>
      </c>
      <c r="BG34" t="str">
        <f t="shared" si="3"/>
        <v>SCENARIO</v>
      </c>
      <c r="BH34" t="s">
        <v>110</v>
      </c>
      <c r="BI34" t="b">
        <v>1</v>
      </c>
      <c r="BJ34">
        <v>1</v>
      </c>
      <c r="BK34">
        <v>1</v>
      </c>
      <c r="BL34" t="s">
        <v>87</v>
      </c>
      <c r="BM34" t="s">
        <v>87</v>
      </c>
      <c r="BN34">
        <v>0</v>
      </c>
      <c r="BO34">
        <v>1810670</v>
      </c>
      <c r="BP34" s="4">
        <v>0</v>
      </c>
      <c r="BQ34">
        <v>5</v>
      </c>
      <c r="BR34">
        <v>20</v>
      </c>
      <c r="BS34">
        <v>100000007</v>
      </c>
      <c r="BT34" t="s">
        <v>140</v>
      </c>
    </row>
    <row r="35" spans="1:72" x14ac:dyDescent="0.35">
      <c r="A35" s="1">
        <v>45837</v>
      </c>
      <c r="B35" t="s">
        <v>72</v>
      </c>
      <c r="C35">
        <v>12</v>
      </c>
      <c r="D35">
        <v>100000001</v>
      </c>
      <c r="E35">
        <v>8</v>
      </c>
      <c r="F35">
        <v>8</v>
      </c>
      <c r="G35" t="s">
        <v>73</v>
      </c>
      <c r="H35" t="s">
        <v>117</v>
      </c>
      <c r="I35">
        <v>1</v>
      </c>
      <c r="J35">
        <v>163186</v>
      </c>
      <c r="K35">
        <v>56318047</v>
      </c>
      <c r="L35" t="s">
        <v>75</v>
      </c>
      <c r="M35">
        <v>1</v>
      </c>
      <c r="N35">
        <v>2</v>
      </c>
      <c r="O35">
        <v>1</v>
      </c>
      <c r="P35">
        <v>2</v>
      </c>
      <c r="Q35">
        <v>0</v>
      </c>
      <c r="R35">
        <v>0</v>
      </c>
      <c r="S35">
        <v>0</v>
      </c>
      <c r="U35" t="s">
        <v>77</v>
      </c>
      <c r="V35" t="s">
        <v>143</v>
      </c>
      <c r="W35" t="s">
        <v>143</v>
      </c>
      <c r="X35" t="s">
        <v>79</v>
      </c>
      <c r="Y35" t="s">
        <v>73</v>
      </c>
      <c r="Z35" t="s">
        <v>73</v>
      </c>
      <c r="AA35" t="s">
        <v>80</v>
      </c>
      <c r="AB35" t="s">
        <v>80</v>
      </c>
      <c r="AC35" t="s">
        <v>80</v>
      </c>
      <c r="AD35" t="s">
        <v>73</v>
      </c>
      <c r="AE35" t="s">
        <v>73</v>
      </c>
      <c r="AF35" t="s">
        <v>81</v>
      </c>
      <c r="AG35" t="b">
        <v>0</v>
      </c>
      <c r="AH35" t="s">
        <v>73</v>
      </c>
      <c r="AI35" t="s">
        <v>80</v>
      </c>
      <c r="AJ35" t="s">
        <v>82</v>
      </c>
      <c r="AL35">
        <v>1</v>
      </c>
      <c r="AM35">
        <v>0.25</v>
      </c>
      <c r="AN35" t="s">
        <v>83</v>
      </c>
      <c r="AO35" t="s">
        <v>84</v>
      </c>
      <c r="AP35" t="s">
        <v>85</v>
      </c>
      <c r="AQ35" s="1">
        <v>45839</v>
      </c>
      <c r="AR35" s="1">
        <v>45839</v>
      </c>
      <c r="AS35" t="s">
        <v>87</v>
      </c>
      <c r="AT35" t="s">
        <v>87</v>
      </c>
      <c r="AU35" t="s">
        <v>87</v>
      </c>
      <c r="AV35" t="s">
        <v>87</v>
      </c>
      <c r="AW35" t="s">
        <v>87</v>
      </c>
      <c r="AX35" t="s">
        <v>87</v>
      </c>
      <c r="AY35" t="s">
        <v>88</v>
      </c>
      <c r="AZ35">
        <v>5</v>
      </c>
      <c r="BA35" cm="1">
        <f t="array" ref="BA35">_xlfn.IFS(AND(AB35 = "N", AA35 = "N", AF35 &lt;&gt; "Concentrated", AC35 = "N",H35="MARGIN_LOAN"), 10,
AND(AB35 = "N", AA35 = "N", AF35 &lt;&gt; "Concentrated", AC35 = "N",H35="SFT"), 5,
AND(AB35 = "N", AA35 = "N", AF35 &lt;&gt; "Concentrated", AC35 = "Y",H35="MARGIN_LOAN"), 20,
AND(AB35 = "N", AA35 = "N", AF35 &lt;&gt; "Concentrated", AC35 = "Y",H35="SFT"), 10,
AND(AB35 = "Y", AA35 = "N", AF35 &lt;&gt; "Concentrated", AC35 = "N"), 20,
AND(AB35 = "Y", AA35 = "N", AF35 &lt;&gt; "Concentrated", AC35 = "Y"), 40,
AND(AB35 = "N",  OR(AA35 = "Y", AF35 = "Concentrated"), AC35 = "N"), 20,
AND(AB35 = "N",  OR(AA35 = "Y", AF35 = "Concentrated"), AC35 = "Y"), 40,
AND(AB35 = "Y",  OR(AA35 = "Y", AF35 = "Concentrated"), AC35 = "N"), 20,
AND(AB35 = "Y",  OR(AA35 = "Y", AF35 = "Concentrated"), AC35 = "Y"), 40)</f>
        <v>20</v>
      </c>
      <c r="BB35">
        <f t="shared" si="0"/>
        <v>20</v>
      </c>
      <c r="BC35">
        <f t="shared" si="4"/>
        <v>5</v>
      </c>
      <c r="BD35">
        <f t="shared" si="2"/>
        <v>5</v>
      </c>
      <c r="BE35">
        <v>5</v>
      </c>
      <c r="BF35">
        <v>1</v>
      </c>
      <c r="BG35" t="str">
        <f t="shared" si="3"/>
        <v>SCENARIO</v>
      </c>
      <c r="BH35" t="s">
        <v>89</v>
      </c>
      <c r="BI35" t="b">
        <v>1</v>
      </c>
      <c r="BJ35">
        <v>0</v>
      </c>
      <c r="BK35">
        <v>0</v>
      </c>
      <c r="BL35" t="s">
        <v>87</v>
      </c>
      <c r="BM35" t="s">
        <v>87</v>
      </c>
      <c r="BN35">
        <v>20000</v>
      </c>
      <c r="BO35">
        <v>14584290</v>
      </c>
      <c r="BP35" s="4"/>
      <c r="BQ35">
        <v>0</v>
      </c>
      <c r="BR35">
        <v>0</v>
      </c>
      <c r="BS35">
        <v>100000008</v>
      </c>
      <c r="BT35" t="s">
        <v>144</v>
      </c>
    </row>
    <row r="36" spans="1:72" x14ac:dyDescent="0.35">
      <c r="A36" s="1">
        <v>45837</v>
      </c>
      <c r="B36" t="s">
        <v>72</v>
      </c>
      <c r="C36">
        <v>12</v>
      </c>
      <c r="D36">
        <v>100000001</v>
      </c>
      <c r="E36">
        <v>8</v>
      </c>
      <c r="F36">
        <v>8</v>
      </c>
      <c r="G36" t="s">
        <v>73</v>
      </c>
      <c r="H36" t="s">
        <v>117</v>
      </c>
      <c r="I36">
        <v>1</v>
      </c>
      <c r="J36">
        <v>163186</v>
      </c>
      <c r="K36">
        <v>70964215</v>
      </c>
      <c r="L36" t="s">
        <v>75</v>
      </c>
      <c r="M36">
        <v>1</v>
      </c>
      <c r="N36">
        <v>2</v>
      </c>
      <c r="O36">
        <v>1</v>
      </c>
      <c r="P36">
        <v>2</v>
      </c>
      <c r="Q36">
        <v>5</v>
      </c>
      <c r="R36">
        <v>0</v>
      </c>
      <c r="S36">
        <v>5</v>
      </c>
      <c r="T36" t="s">
        <v>76</v>
      </c>
      <c r="U36" t="s">
        <v>77</v>
      </c>
      <c r="V36" t="s">
        <v>145</v>
      </c>
      <c r="W36" t="s">
        <v>145</v>
      </c>
      <c r="X36" t="s">
        <v>79</v>
      </c>
      <c r="Y36" t="s">
        <v>80</v>
      </c>
      <c r="Z36" t="s">
        <v>73</v>
      </c>
      <c r="AA36" t="s">
        <v>80</v>
      </c>
      <c r="AB36" t="s">
        <v>80</v>
      </c>
      <c r="AC36" t="s">
        <v>80</v>
      </c>
      <c r="AD36" t="s">
        <v>73</v>
      </c>
      <c r="AE36" t="s">
        <v>73</v>
      </c>
      <c r="AF36" t="s">
        <v>81</v>
      </c>
      <c r="AG36" t="b">
        <v>0</v>
      </c>
      <c r="AH36" t="s">
        <v>73</v>
      </c>
      <c r="AI36" t="s">
        <v>80</v>
      </c>
      <c r="AJ36" t="s">
        <v>82</v>
      </c>
      <c r="AL36">
        <v>1</v>
      </c>
      <c r="AM36">
        <v>0.25</v>
      </c>
      <c r="AN36" t="s">
        <v>83</v>
      </c>
      <c r="AO36" t="s">
        <v>84</v>
      </c>
      <c r="AP36" t="s">
        <v>85</v>
      </c>
      <c r="AQ36" s="1">
        <v>45839</v>
      </c>
      <c r="AR36" s="1">
        <v>45839</v>
      </c>
      <c r="AS36" t="s">
        <v>87</v>
      </c>
      <c r="AT36" t="s">
        <v>87</v>
      </c>
      <c r="AU36" t="s">
        <v>87</v>
      </c>
      <c r="AV36" t="s">
        <v>87</v>
      </c>
      <c r="AW36" t="s">
        <v>87</v>
      </c>
      <c r="AX36" t="s">
        <v>87</v>
      </c>
      <c r="AY36" t="s">
        <v>88</v>
      </c>
      <c r="AZ36">
        <v>5</v>
      </c>
      <c r="BA36" cm="1">
        <f t="array" ref="BA36">_xlfn.IFS(AND(AB36 = "N", AA36 = "N", AF36 &lt;&gt; "Concentrated", AC36 = "N",H36="MARGIN_LOAN"), 10,
AND(AB36 = "N", AA36 = "N", AF36 &lt;&gt; "Concentrated", AC36 = "N",H36="SFT"), 5,
AND(AB36 = "N", AA36 = "N", AF36 &lt;&gt; "Concentrated", AC36 = "Y",H36="MARGIN_LOAN"), 20,
AND(AB36 = "N", AA36 = "N", AF36 &lt;&gt; "Concentrated", AC36 = "Y",H36="SFT"), 10,
AND(AB36 = "Y", AA36 = "N", AF36 &lt;&gt; "Concentrated", AC36 = "N"), 20,
AND(AB36 = "Y", AA36 = "N", AF36 &lt;&gt; "Concentrated", AC36 = "Y"), 40,
AND(AB36 = "N",  OR(AA36 = "Y", AF36 = "Concentrated"), AC36 = "N"), 20,
AND(AB36 = "N",  OR(AA36 = "Y", AF36 = "Concentrated"), AC36 = "Y"), 40,
AND(AB36 = "Y",  OR(AA36 = "Y", AF36 = "Concentrated"), AC36 = "N"), 20,
AND(AB36 = "Y",  OR(AA36 = "Y", AF36 = "Concentrated"), AC36 = "Y"), 40)</f>
        <v>20</v>
      </c>
      <c r="BB36">
        <f t="shared" si="0"/>
        <v>20</v>
      </c>
      <c r="BC36">
        <f t="shared" si="4"/>
        <v>5</v>
      </c>
      <c r="BD36">
        <f t="shared" si="2"/>
        <v>5</v>
      </c>
      <c r="BE36">
        <v>5</v>
      </c>
      <c r="BF36">
        <v>1</v>
      </c>
      <c r="BG36" t="str">
        <f t="shared" si="3"/>
        <v>SCENARIO</v>
      </c>
      <c r="BH36" t="s">
        <v>89</v>
      </c>
      <c r="BI36" t="b">
        <v>1</v>
      </c>
      <c r="BJ36">
        <v>1</v>
      </c>
      <c r="BK36">
        <v>1</v>
      </c>
      <c r="BL36" t="s">
        <v>87</v>
      </c>
      <c r="BM36" t="s">
        <v>87</v>
      </c>
      <c r="BN36">
        <v>12341</v>
      </c>
      <c r="BP36" s="4">
        <v>11419335.6</v>
      </c>
      <c r="BQ36">
        <v>5</v>
      </c>
      <c r="BR36">
        <v>20</v>
      </c>
      <c r="BS36">
        <v>100000008</v>
      </c>
      <c r="BT36" t="s">
        <v>144</v>
      </c>
    </row>
    <row r="37" spans="1:72" x14ac:dyDescent="0.35">
      <c r="A37" s="1">
        <v>45837</v>
      </c>
      <c r="B37" t="s">
        <v>72</v>
      </c>
      <c r="C37">
        <v>12</v>
      </c>
      <c r="D37">
        <v>100000001</v>
      </c>
      <c r="E37">
        <v>8</v>
      </c>
      <c r="F37">
        <v>8</v>
      </c>
      <c r="G37" t="s">
        <v>73</v>
      </c>
      <c r="H37" t="s">
        <v>117</v>
      </c>
      <c r="I37">
        <v>1</v>
      </c>
      <c r="J37">
        <v>163186</v>
      </c>
      <c r="K37">
        <v>87135960</v>
      </c>
      <c r="L37" t="s">
        <v>75</v>
      </c>
      <c r="M37">
        <v>1</v>
      </c>
      <c r="N37">
        <v>2</v>
      </c>
      <c r="O37">
        <v>1</v>
      </c>
      <c r="P37">
        <v>2</v>
      </c>
      <c r="Q37">
        <v>5</v>
      </c>
      <c r="R37">
        <v>0</v>
      </c>
      <c r="S37">
        <v>5</v>
      </c>
      <c r="T37" t="s">
        <v>76</v>
      </c>
      <c r="U37" t="s">
        <v>77</v>
      </c>
      <c r="V37" t="s">
        <v>146</v>
      </c>
      <c r="W37" t="s">
        <v>146</v>
      </c>
      <c r="X37" t="s">
        <v>79</v>
      </c>
      <c r="Y37" t="s">
        <v>80</v>
      </c>
      <c r="Z37" t="s">
        <v>73</v>
      </c>
      <c r="AA37" t="s">
        <v>80</v>
      </c>
      <c r="AB37" t="s">
        <v>80</v>
      </c>
      <c r="AC37" t="s">
        <v>80</v>
      </c>
      <c r="AD37" t="s">
        <v>73</v>
      </c>
      <c r="AE37" t="s">
        <v>73</v>
      </c>
      <c r="AF37" t="s">
        <v>81</v>
      </c>
      <c r="AG37" t="b">
        <v>0</v>
      </c>
      <c r="AH37" t="s">
        <v>73</v>
      </c>
      <c r="AI37" t="s">
        <v>80</v>
      </c>
      <c r="AJ37" t="s">
        <v>82</v>
      </c>
      <c r="AL37">
        <v>1</v>
      </c>
      <c r="AM37">
        <v>0.15</v>
      </c>
      <c r="AN37" t="s">
        <v>83</v>
      </c>
      <c r="AO37" t="s">
        <v>84</v>
      </c>
      <c r="AP37" t="s">
        <v>85</v>
      </c>
      <c r="AQ37" s="1">
        <v>45839</v>
      </c>
      <c r="AR37" s="1">
        <v>45839</v>
      </c>
      <c r="AS37" t="s">
        <v>87</v>
      </c>
      <c r="AT37" t="s">
        <v>87</v>
      </c>
      <c r="AU37" t="s">
        <v>87</v>
      </c>
      <c r="AV37" t="s">
        <v>87</v>
      </c>
      <c r="AW37" t="s">
        <v>87</v>
      </c>
      <c r="AX37" t="s">
        <v>87</v>
      </c>
      <c r="AY37" t="s">
        <v>94</v>
      </c>
      <c r="AZ37">
        <v>5</v>
      </c>
      <c r="BA37" cm="1">
        <f t="array" ref="BA37">_xlfn.IFS(AND(AB37 = "N", AA37 = "N", AF37 &lt;&gt; "Concentrated", AC37 = "N",H37="MARGIN_LOAN"), 10,
AND(AB37 = "N", AA37 = "N", AF37 &lt;&gt; "Concentrated", AC37 = "N",H37="SFT"), 5,
AND(AB37 = "N", AA37 = "N", AF37 &lt;&gt; "Concentrated", AC37 = "Y",H37="MARGIN_LOAN"), 20,
AND(AB37 = "N", AA37 = "N", AF37 &lt;&gt; "Concentrated", AC37 = "Y",H37="SFT"), 10,
AND(AB37 = "Y", AA37 = "N", AF37 &lt;&gt; "Concentrated", AC37 = "N"), 20,
AND(AB37 = "Y", AA37 = "N", AF37 &lt;&gt; "Concentrated", AC37 = "Y"), 40,
AND(AB37 = "N",  OR(AA37 = "Y", AF37 = "Concentrated"), AC37 = "N"), 20,
AND(AB37 = "N",  OR(AA37 = "Y", AF37 = "Concentrated"), AC37 = "Y"), 40,
AND(AB37 = "Y",  OR(AA37 = "Y", AF37 = "Concentrated"), AC37 = "N"), 20,
AND(AB37 = "Y",  OR(AA37 = "Y", AF37 = "Concentrated"), AC37 = "Y"), 40)</f>
        <v>20</v>
      </c>
      <c r="BB37">
        <f t="shared" si="0"/>
        <v>20</v>
      </c>
      <c r="BC37">
        <f t="shared" si="4"/>
        <v>5</v>
      </c>
      <c r="BD37">
        <f t="shared" si="2"/>
        <v>5</v>
      </c>
      <c r="BE37">
        <v>5</v>
      </c>
      <c r="BF37">
        <v>1</v>
      </c>
      <c r="BG37" t="str">
        <f t="shared" si="3"/>
        <v>SCENARIO</v>
      </c>
      <c r="BH37" t="s">
        <v>89</v>
      </c>
      <c r="BI37" t="b">
        <v>1</v>
      </c>
      <c r="BJ37">
        <v>1</v>
      </c>
      <c r="BK37">
        <v>1</v>
      </c>
      <c r="BL37" t="s">
        <v>87</v>
      </c>
      <c r="BM37" t="s">
        <v>87</v>
      </c>
      <c r="BN37">
        <v>10000</v>
      </c>
      <c r="BP37" s="4">
        <v>14013969</v>
      </c>
      <c r="BQ37">
        <v>5</v>
      </c>
      <c r="BR37">
        <v>20</v>
      </c>
      <c r="BS37">
        <v>100000008</v>
      </c>
      <c r="BT37" t="s">
        <v>144</v>
      </c>
    </row>
    <row r="38" spans="1:72" x14ac:dyDescent="0.35">
      <c r="A38" s="1">
        <v>45837</v>
      </c>
      <c r="B38" t="s">
        <v>72</v>
      </c>
      <c r="C38">
        <v>12</v>
      </c>
      <c r="D38">
        <v>100000001</v>
      </c>
      <c r="E38">
        <v>8</v>
      </c>
      <c r="F38">
        <v>8</v>
      </c>
      <c r="G38" t="s">
        <v>73</v>
      </c>
      <c r="H38" t="s">
        <v>117</v>
      </c>
      <c r="I38">
        <v>1</v>
      </c>
      <c r="J38">
        <v>163186</v>
      </c>
      <c r="K38">
        <v>43021897</v>
      </c>
      <c r="L38" t="s">
        <v>75</v>
      </c>
      <c r="M38">
        <v>1</v>
      </c>
      <c r="N38">
        <v>2</v>
      </c>
      <c r="O38">
        <v>1</v>
      </c>
      <c r="P38">
        <v>2</v>
      </c>
      <c r="Q38">
        <v>5</v>
      </c>
      <c r="R38">
        <v>0</v>
      </c>
      <c r="S38">
        <v>20</v>
      </c>
      <c r="T38" t="s">
        <v>76</v>
      </c>
      <c r="U38" t="s">
        <v>77</v>
      </c>
      <c r="V38" t="s">
        <v>147</v>
      </c>
      <c r="W38" t="s">
        <v>147</v>
      </c>
      <c r="X38" t="s">
        <v>79</v>
      </c>
      <c r="Y38" t="s">
        <v>80</v>
      </c>
      <c r="Z38" t="s">
        <v>73</v>
      </c>
      <c r="AA38" t="s">
        <v>73</v>
      </c>
      <c r="AB38" t="s">
        <v>80</v>
      </c>
      <c r="AC38" t="s">
        <v>80</v>
      </c>
      <c r="AD38" t="s">
        <v>73</v>
      </c>
      <c r="AE38" t="s">
        <v>73</v>
      </c>
      <c r="AF38" t="s">
        <v>81</v>
      </c>
      <c r="AG38" t="b">
        <v>0</v>
      </c>
      <c r="AH38" t="s">
        <v>73</v>
      </c>
      <c r="AI38" t="s">
        <v>80</v>
      </c>
      <c r="AJ38" t="s">
        <v>82</v>
      </c>
      <c r="AL38">
        <v>1</v>
      </c>
      <c r="AM38">
        <v>0.25</v>
      </c>
      <c r="AN38" t="s">
        <v>83</v>
      </c>
      <c r="AO38" t="s">
        <v>84</v>
      </c>
      <c r="AP38" t="s">
        <v>85</v>
      </c>
      <c r="AQ38" s="1">
        <v>45841</v>
      </c>
      <c r="AR38" s="1">
        <v>45841</v>
      </c>
      <c r="AS38" t="s">
        <v>87</v>
      </c>
      <c r="AT38" t="s">
        <v>87</v>
      </c>
      <c r="AU38" t="s">
        <v>87</v>
      </c>
      <c r="AV38" t="s">
        <v>87</v>
      </c>
      <c r="AW38" t="s">
        <v>87</v>
      </c>
      <c r="AX38" t="s">
        <v>87</v>
      </c>
      <c r="AY38" t="s">
        <v>88</v>
      </c>
      <c r="AZ38">
        <v>5</v>
      </c>
      <c r="BA38" cm="1">
        <f t="array" ref="BA38">_xlfn.IFS(AND(AB38 = "N", AA38 = "N", AF38 &lt;&gt; "Concentrated", AC38 = "N",H38="MARGIN_LOAN"), 10,
AND(AB38 = "N", AA38 = "N", AF38 &lt;&gt; "Concentrated", AC38 = "N",H38="SFT"), 5,
AND(AB38 = "N", AA38 = "N", AF38 &lt;&gt; "Concentrated", AC38 = "Y",H38="MARGIN_LOAN"), 20,
AND(AB38 = "N", AA38 = "N", AF38 &lt;&gt; "Concentrated", AC38 = "Y",H38="SFT"), 10,
AND(AB38 = "Y", AA38 = "N", AF38 &lt;&gt; "Concentrated", AC38 = "N"), 20,
AND(AB38 = "Y", AA38 = "N", AF38 &lt;&gt; "Concentrated", AC38 = "Y"), 40,
AND(AB38 = "N",  OR(AA38 = "Y", AF38 = "Concentrated"), AC38 = "N"), 20,
AND(AB38 = "N",  OR(AA38 = "Y", AF38 = "Concentrated"), AC38 = "Y"), 40,
AND(AB38 = "Y",  OR(AA38 = "Y", AF38 = "Concentrated"), AC38 = "N"), 20,
AND(AB38 = "Y",  OR(AA38 = "Y", AF38 = "Concentrated"), AC38 = "Y"), 40)</f>
        <v>20</v>
      </c>
      <c r="BB38">
        <f t="shared" si="0"/>
        <v>20</v>
      </c>
      <c r="BC38">
        <f t="shared" si="4"/>
        <v>5</v>
      </c>
      <c r="BD38">
        <f t="shared" si="2"/>
        <v>5</v>
      </c>
      <c r="BE38">
        <v>5</v>
      </c>
      <c r="BF38">
        <v>1</v>
      </c>
      <c r="BG38" t="str">
        <f t="shared" si="3"/>
        <v>SCENARIO</v>
      </c>
      <c r="BH38" t="s">
        <v>89</v>
      </c>
      <c r="BI38" t="b">
        <v>1</v>
      </c>
      <c r="BJ38">
        <v>0</v>
      </c>
      <c r="BK38">
        <v>1</v>
      </c>
      <c r="BL38" t="s">
        <v>87</v>
      </c>
      <c r="BM38" t="s">
        <v>87</v>
      </c>
      <c r="BN38">
        <v>10000</v>
      </c>
      <c r="BP38" s="4">
        <v>4680507</v>
      </c>
      <c r="BQ38">
        <v>5</v>
      </c>
      <c r="BR38">
        <v>20</v>
      </c>
      <c r="BS38">
        <v>100000008</v>
      </c>
      <c r="BT38" t="s">
        <v>144</v>
      </c>
    </row>
    <row r="39" spans="1:72" x14ac:dyDescent="0.35">
      <c r="A39" s="1">
        <v>45837</v>
      </c>
      <c r="B39" t="s">
        <v>72</v>
      </c>
      <c r="C39">
        <v>12</v>
      </c>
      <c r="D39">
        <v>100000001</v>
      </c>
      <c r="E39">
        <v>9</v>
      </c>
      <c r="F39">
        <v>9</v>
      </c>
      <c r="G39" t="s">
        <v>73</v>
      </c>
      <c r="H39" t="s">
        <v>117</v>
      </c>
      <c r="I39">
        <v>1</v>
      </c>
      <c r="J39">
        <v>163186</v>
      </c>
      <c r="K39">
        <v>63057423</v>
      </c>
      <c r="L39" t="s">
        <v>75</v>
      </c>
      <c r="M39">
        <v>1</v>
      </c>
      <c r="N39">
        <v>2</v>
      </c>
      <c r="O39">
        <v>1</v>
      </c>
      <c r="P39">
        <v>2</v>
      </c>
      <c r="Q39">
        <v>5</v>
      </c>
      <c r="R39">
        <v>0</v>
      </c>
      <c r="S39">
        <v>5</v>
      </c>
      <c r="T39" t="s">
        <v>76</v>
      </c>
      <c r="U39" t="s">
        <v>77</v>
      </c>
      <c r="V39" t="s">
        <v>148</v>
      </c>
      <c r="W39" t="s">
        <v>148</v>
      </c>
      <c r="X39" t="s">
        <v>79</v>
      </c>
      <c r="Y39" t="s">
        <v>80</v>
      </c>
      <c r="Z39" t="s">
        <v>73</v>
      </c>
      <c r="AA39" t="s">
        <v>80</v>
      </c>
      <c r="AB39" t="s">
        <v>80</v>
      </c>
      <c r="AC39" t="s">
        <v>80</v>
      </c>
      <c r="AD39" t="s">
        <v>73</v>
      </c>
      <c r="AE39" t="s">
        <v>73</v>
      </c>
      <c r="AF39" t="s">
        <v>81</v>
      </c>
      <c r="AG39" t="b">
        <v>0</v>
      </c>
      <c r="AH39" t="s">
        <v>73</v>
      </c>
      <c r="AI39" t="s">
        <v>80</v>
      </c>
      <c r="AJ39" t="s">
        <v>82</v>
      </c>
      <c r="AL39">
        <v>1</v>
      </c>
      <c r="AM39">
        <v>0.15</v>
      </c>
      <c r="AN39" t="s">
        <v>83</v>
      </c>
      <c r="AO39" t="s">
        <v>84</v>
      </c>
      <c r="AP39" t="s">
        <v>85</v>
      </c>
      <c r="AQ39" s="1">
        <v>45841</v>
      </c>
      <c r="AR39" s="1">
        <v>45841</v>
      </c>
      <c r="AS39" t="s">
        <v>87</v>
      </c>
      <c r="AT39" t="s">
        <v>87</v>
      </c>
      <c r="AU39" t="s">
        <v>87</v>
      </c>
      <c r="AV39" t="s">
        <v>87</v>
      </c>
      <c r="AW39" t="s">
        <v>87</v>
      </c>
      <c r="AX39" t="s">
        <v>87</v>
      </c>
      <c r="AY39" t="s">
        <v>88</v>
      </c>
      <c r="AZ39">
        <v>5</v>
      </c>
      <c r="BA39" cm="1">
        <f t="array" ref="BA39">_xlfn.IFS(AND(AB39 = "N", AA39 = "N", AF39 &lt;&gt; "Concentrated", AC39 = "N",H39="MARGIN_LOAN"), 10,
AND(AB39 = "N", AA39 = "N", AF39 &lt;&gt; "Concentrated", AC39 = "N",H39="SFT"), 5,
AND(AB39 = "N", AA39 = "N", AF39 &lt;&gt; "Concentrated", AC39 = "Y",H39="MARGIN_LOAN"), 20,
AND(AB39 = "N", AA39 = "N", AF39 &lt;&gt; "Concentrated", AC39 = "Y",H39="SFT"), 10,
AND(AB39 = "Y", AA39 = "N", AF39 &lt;&gt; "Concentrated", AC39 = "N"), 20,
AND(AB39 = "Y", AA39 = "N", AF39 &lt;&gt; "Concentrated", AC39 = "Y"), 40,
AND(AB39 = "N",  OR(AA39 = "Y", AF39 = "Concentrated"), AC39 = "N"), 20,
AND(AB39 = "N",  OR(AA39 = "Y", AF39 = "Concentrated"), AC39 = "Y"), 40,
AND(AB39 = "Y",  OR(AA39 = "Y", AF39 = "Concentrated"), AC39 = "N"), 20,
AND(AB39 = "Y",  OR(AA39 = "Y", AF39 = "Concentrated"), AC39 = "Y"), 40)</f>
        <v>20</v>
      </c>
      <c r="BB39">
        <f t="shared" si="0"/>
        <v>20</v>
      </c>
      <c r="BC39">
        <f t="shared" si="4"/>
        <v>5</v>
      </c>
      <c r="BD39">
        <f t="shared" si="2"/>
        <v>5</v>
      </c>
      <c r="BE39">
        <v>5</v>
      </c>
      <c r="BF39">
        <v>1</v>
      </c>
      <c r="BG39" t="str">
        <f t="shared" si="3"/>
        <v>SCENARIO</v>
      </c>
      <c r="BH39" t="s">
        <v>89</v>
      </c>
      <c r="BI39" t="b">
        <v>1</v>
      </c>
      <c r="BJ39">
        <v>1</v>
      </c>
      <c r="BK39">
        <v>1</v>
      </c>
      <c r="BL39" t="s">
        <v>87</v>
      </c>
      <c r="BM39" t="s">
        <v>87</v>
      </c>
      <c r="BN39">
        <v>10000</v>
      </c>
      <c r="BO39">
        <v>0</v>
      </c>
      <c r="BP39" s="4">
        <v>8329834</v>
      </c>
      <c r="BQ39">
        <v>5</v>
      </c>
      <c r="BR39">
        <v>20</v>
      </c>
      <c r="BS39">
        <v>100000009</v>
      </c>
      <c r="BT39" t="s">
        <v>149</v>
      </c>
    </row>
    <row r="40" spans="1:72" x14ac:dyDescent="0.35">
      <c r="A40" s="1">
        <v>45837</v>
      </c>
      <c r="B40" t="s">
        <v>72</v>
      </c>
      <c r="C40">
        <v>12</v>
      </c>
      <c r="D40">
        <v>100000001</v>
      </c>
      <c r="E40">
        <v>9</v>
      </c>
      <c r="F40">
        <v>9</v>
      </c>
      <c r="G40" t="s">
        <v>73</v>
      </c>
      <c r="H40" t="s">
        <v>117</v>
      </c>
      <c r="I40">
        <v>15</v>
      </c>
      <c r="J40">
        <v>163186</v>
      </c>
      <c r="K40">
        <v>15842971</v>
      </c>
      <c r="L40" t="s">
        <v>75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  <c r="S40">
        <v>5</v>
      </c>
      <c r="T40" t="s">
        <v>76</v>
      </c>
      <c r="U40" t="s">
        <v>77</v>
      </c>
      <c r="V40" t="s">
        <v>150</v>
      </c>
      <c r="W40" t="s">
        <v>150</v>
      </c>
      <c r="X40" t="s">
        <v>79</v>
      </c>
      <c r="Y40" t="s">
        <v>80</v>
      </c>
      <c r="Z40" t="s">
        <v>73</v>
      </c>
      <c r="AA40" t="s">
        <v>80</v>
      </c>
      <c r="AB40" t="s">
        <v>80</v>
      </c>
      <c r="AC40" t="s">
        <v>80</v>
      </c>
      <c r="AD40" t="s">
        <v>73</v>
      </c>
      <c r="AE40" t="s">
        <v>73</v>
      </c>
      <c r="AF40" t="s">
        <v>81</v>
      </c>
      <c r="AG40" t="b">
        <v>0</v>
      </c>
      <c r="AH40" t="s">
        <v>73</v>
      </c>
      <c r="AI40" t="s">
        <v>80</v>
      </c>
      <c r="AJ40" t="s">
        <v>82</v>
      </c>
      <c r="AL40">
        <v>1</v>
      </c>
      <c r="AM40">
        <v>0.25</v>
      </c>
      <c r="AN40" t="s">
        <v>83</v>
      </c>
      <c r="AO40" t="s">
        <v>84</v>
      </c>
      <c r="AP40" t="s">
        <v>85</v>
      </c>
      <c r="AQ40" s="1">
        <v>45841</v>
      </c>
      <c r="AR40" s="1">
        <v>45841</v>
      </c>
      <c r="AS40" t="s">
        <v>87</v>
      </c>
      <c r="AT40" t="s">
        <v>87</v>
      </c>
      <c r="AU40" t="s">
        <v>87</v>
      </c>
      <c r="AW40" t="s">
        <v>87</v>
      </c>
      <c r="AX40" t="s">
        <v>87</v>
      </c>
      <c r="AY40" t="s">
        <v>94</v>
      </c>
      <c r="AZ40">
        <v>5</v>
      </c>
      <c r="BA40" cm="1">
        <f t="array" ref="BA40">_xlfn.IFS(AND(AB40 = "N", AA40 = "N", AF40 &lt;&gt; "Concentrated", AC40 = "N",H40="MARGIN_LOAN"), 10,
AND(AB40 = "N", AA40 = "N", AF40 &lt;&gt; "Concentrated", AC40 = "N",H40="SFT"), 5,
AND(AB40 = "N", AA40 = "N", AF40 &lt;&gt; "Concentrated", AC40 = "Y",H40="MARGIN_LOAN"), 20,
AND(AB40 = "N", AA40 = "N", AF40 &lt;&gt; "Concentrated", AC40 = "Y",H40="SFT"), 10,
AND(AB40 = "Y", AA40 = "N", AF40 &lt;&gt; "Concentrated", AC40 = "N"), 20,
AND(AB40 = "Y", AA40 = "N", AF40 &lt;&gt; "Concentrated", AC40 = "Y"), 40,
AND(AB40 = "N",  OR(AA40 = "Y", AF40 = "Concentrated"), AC40 = "N"), 20,
AND(AB40 = "N",  OR(AA40 = "Y", AF40 = "Concentrated"), AC40 = "Y"), 40,
AND(AB40 = "Y",  OR(AA40 = "Y", AF40 = "Concentrated"), AC40 = "N"), 20,
AND(AB40 = "Y",  OR(AA40 = "Y", AF40 = "Concentrated"), AC40 = "Y"), 40)</f>
        <v>20</v>
      </c>
      <c r="BB40">
        <f t="shared" si="0"/>
        <v>20</v>
      </c>
      <c r="BC40">
        <f t="shared" si="4"/>
        <v>5</v>
      </c>
      <c r="BD40">
        <f t="shared" si="2"/>
        <v>5</v>
      </c>
      <c r="BE40">
        <v>5</v>
      </c>
      <c r="BF40">
        <v>1</v>
      </c>
      <c r="BG40" t="str">
        <f t="shared" si="3"/>
        <v>SCENARIO</v>
      </c>
      <c r="BH40" t="s">
        <v>89</v>
      </c>
      <c r="BI40" t="b">
        <v>1</v>
      </c>
      <c r="BJ40">
        <v>1</v>
      </c>
      <c r="BK40">
        <v>1</v>
      </c>
      <c r="BL40" t="s">
        <v>87</v>
      </c>
      <c r="BN40">
        <v>10000</v>
      </c>
      <c r="BO40">
        <v>0</v>
      </c>
      <c r="BP40" s="4">
        <v>5078329</v>
      </c>
      <c r="BQ40">
        <v>5</v>
      </c>
      <c r="BR40">
        <v>20</v>
      </c>
      <c r="BS40">
        <v>100000009</v>
      </c>
      <c r="BT40" t="s">
        <v>149</v>
      </c>
    </row>
    <row r="41" spans="1:72" x14ac:dyDescent="0.35">
      <c r="A41" s="1">
        <v>45837</v>
      </c>
      <c r="B41" t="s">
        <v>72</v>
      </c>
      <c r="C41">
        <v>12</v>
      </c>
      <c r="D41">
        <v>100000001</v>
      </c>
      <c r="E41">
        <v>9</v>
      </c>
      <c r="F41">
        <v>9</v>
      </c>
      <c r="G41" t="s">
        <v>73</v>
      </c>
      <c r="H41" t="s">
        <v>117</v>
      </c>
      <c r="I41">
        <v>1</v>
      </c>
      <c r="J41">
        <v>163186</v>
      </c>
      <c r="K41">
        <v>297530132</v>
      </c>
      <c r="L41" t="s">
        <v>75</v>
      </c>
      <c r="M41">
        <v>1</v>
      </c>
      <c r="N41">
        <v>2</v>
      </c>
      <c r="O41">
        <v>1</v>
      </c>
      <c r="P41">
        <v>2</v>
      </c>
      <c r="Q41">
        <v>5</v>
      </c>
      <c r="R41">
        <v>0</v>
      </c>
      <c r="S41">
        <v>5</v>
      </c>
      <c r="T41" t="s">
        <v>76</v>
      </c>
      <c r="U41" t="s">
        <v>77</v>
      </c>
      <c r="V41" t="s">
        <v>151</v>
      </c>
      <c r="W41" t="s">
        <v>151</v>
      </c>
      <c r="X41" t="s">
        <v>79</v>
      </c>
      <c r="Y41" t="s">
        <v>80</v>
      </c>
      <c r="Z41" t="s">
        <v>73</v>
      </c>
      <c r="AA41" t="s">
        <v>80</v>
      </c>
      <c r="AB41" t="s">
        <v>80</v>
      </c>
      <c r="AC41" t="s">
        <v>80</v>
      </c>
      <c r="AD41" t="s">
        <v>73</v>
      </c>
      <c r="AE41" t="s">
        <v>73</v>
      </c>
      <c r="AF41" t="s">
        <v>81</v>
      </c>
      <c r="AG41" t="b">
        <v>0</v>
      </c>
      <c r="AH41" t="s">
        <v>73</v>
      </c>
      <c r="AI41" t="s">
        <v>80</v>
      </c>
      <c r="AJ41" t="s">
        <v>82</v>
      </c>
      <c r="AL41">
        <v>1</v>
      </c>
      <c r="AM41">
        <v>0.25</v>
      </c>
      <c r="AN41" t="s">
        <v>83</v>
      </c>
      <c r="AO41" t="s">
        <v>84</v>
      </c>
      <c r="AP41" t="s">
        <v>85</v>
      </c>
      <c r="AQ41" s="1">
        <v>45841</v>
      </c>
      <c r="AR41" s="1">
        <v>45841</v>
      </c>
      <c r="AS41" t="s">
        <v>87</v>
      </c>
      <c r="AT41" t="s">
        <v>87</v>
      </c>
      <c r="AU41" t="s">
        <v>87</v>
      </c>
      <c r="AV41" t="s">
        <v>87</v>
      </c>
      <c r="AW41" t="s">
        <v>87</v>
      </c>
      <c r="AX41" t="s">
        <v>87</v>
      </c>
      <c r="AY41" t="s">
        <v>94</v>
      </c>
      <c r="AZ41">
        <v>5</v>
      </c>
      <c r="BA41" cm="1">
        <f t="array" ref="BA41">_xlfn.IFS(AND(AB41 = "N", AA41 = "N", AF41 &lt;&gt; "Concentrated", AC41 = "N",H41="MARGIN_LOAN"), 10,
AND(AB41 = "N", AA41 = "N", AF41 &lt;&gt; "Concentrated", AC41 = "N",H41="SFT"), 5,
AND(AB41 = "N", AA41 = "N", AF41 &lt;&gt; "Concentrated", AC41 = "Y",H41="MARGIN_LOAN"), 20,
AND(AB41 = "N", AA41 = "N", AF41 &lt;&gt; "Concentrated", AC41 = "Y",H41="SFT"), 10,
AND(AB41 = "Y", AA41 = "N", AF41 &lt;&gt; "Concentrated", AC41 = "N"), 20,
AND(AB41 = "Y", AA41 = "N", AF41 &lt;&gt; "Concentrated", AC41 = "Y"), 40,
AND(AB41 = "N",  OR(AA41 = "Y", AF41 = "Concentrated"), AC41 = "N"), 20,
AND(AB41 = "N",  OR(AA41 = "Y", AF41 = "Concentrated"), AC41 = "Y"), 40,
AND(AB41 = "Y",  OR(AA41 = "Y", AF41 = "Concentrated"), AC41 = "N"), 20,
AND(AB41 = "Y",  OR(AA41 = "Y", AF41 = "Concentrated"), AC41 = "Y"), 40)</f>
        <v>20</v>
      </c>
      <c r="BB41">
        <f t="shared" si="0"/>
        <v>20</v>
      </c>
      <c r="BC41">
        <f t="shared" si="4"/>
        <v>5</v>
      </c>
      <c r="BD41">
        <f t="shared" si="2"/>
        <v>5</v>
      </c>
      <c r="BE41">
        <v>5</v>
      </c>
      <c r="BF41">
        <v>1</v>
      </c>
      <c r="BG41" t="str">
        <f t="shared" si="3"/>
        <v>SCENARIO</v>
      </c>
      <c r="BH41" t="s">
        <v>89</v>
      </c>
      <c r="BI41" t="b">
        <v>1</v>
      </c>
      <c r="BJ41">
        <v>1</v>
      </c>
      <c r="BK41">
        <v>1</v>
      </c>
      <c r="BL41" t="s">
        <v>87</v>
      </c>
      <c r="BM41" t="s">
        <v>87</v>
      </c>
      <c r="BN41">
        <v>10000</v>
      </c>
      <c r="BO41">
        <v>0</v>
      </c>
      <c r="BP41" s="4">
        <v>28000000</v>
      </c>
      <c r="BQ41">
        <v>5</v>
      </c>
      <c r="BR41">
        <v>20</v>
      </c>
      <c r="BS41">
        <v>100000009</v>
      </c>
      <c r="BT41" t="s">
        <v>149</v>
      </c>
    </row>
    <row r="42" spans="1:72" x14ac:dyDescent="0.35">
      <c r="A42" s="1">
        <v>45837</v>
      </c>
      <c r="B42" t="s">
        <v>72</v>
      </c>
      <c r="C42">
        <v>12</v>
      </c>
      <c r="D42">
        <v>100000001</v>
      </c>
      <c r="E42">
        <v>10</v>
      </c>
      <c r="F42">
        <v>10</v>
      </c>
      <c r="G42" t="s">
        <v>73</v>
      </c>
      <c r="H42" t="s">
        <v>117</v>
      </c>
      <c r="I42">
        <v>1</v>
      </c>
      <c r="J42">
        <v>163186</v>
      </c>
      <c r="K42">
        <v>78630255</v>
      </c>
      <c r="L42" t="s">
        <v>75</v>
      </c>
      <c r="M42">
        <v>1</v>
      </c>
      <c r="N42">
        <v>2</v>
      </c>
      <c r="O42">
        <v>1</v>
      </c>
      <c r="P42">
        <v>2</v>
      </c>
      <c r="Q42">
        <v>5</v>
      </c>
      <c r="R42">
        <v>0</v>
      </c>
      <c r="S42">
        <v>5</v>
      </c>
      <c r="T42" t="s">
        <v>76</v>
      </c>
      <c r="U42" t="s">
        <v>77</v>
      </c>
      <c r="V42" t="s">
        <v>152</v>
      </c>
      <c r="W42" t="s">
        <v>152</v>
      </c>
      <c r="X42" t="s">
        <v>79</v>
      </c>
      <c r="Y42" t="s">
        <v>80</v>
      </c>
      <c r="Z42" t="s">
        <v>73</v>
      </c>
      <c r="AA42" t="s">
        <v>80</v>
      </c>
      <c r="AB42" t="s">
        <v>80</v>
      </c>
      <c r="AC42" t="s">
        <v>80</v>
      </c>
      <c r="AD42" t="s">
        <v>73</v>
      </c>
      <c r="AE42" t="s">
        <v>73</v>
      </c>
      <c r="AF42" t="s">
        <v>81</v>
      </c>
      <c r="AG42" t="b">
        <v>0</v>
      </c>
      <c r="AH42" t="s">
        <v>73</v>
      </c>
      <c r="AI42" t="s">
        <v>80</v>
      </c>
      <c r="AJ42" t="s">
        <v>82</v>
      </c>
      <c r="AL42">
        <v>1</v>
      </c>
      <c r="AM42">
        <v>0.25</v>
      </c>
      <c r="AN42" t="s">
        <v>83</v>
      </c>
      <c r="AO42" t="s">
        <v>84</v>
      </c>
      <c r="AP42" t="s">
        <v>85</v>
      </c>
      <c r="AQ42" s="1">
        <v>45841</v>
      </c>
      <c r="AR42" s="1">
        <v>45841</v>
      </c>
      <c r="AS42" t="s">
        <v>87</v>
      </c>
      <c r="AT42" t="s">
        <v>87</v>
      </c>
      <c r="AU42" t="s">
        <v>87</v>
      </c>
      <c r="AV42" t="s">
        <v>87</v>
      </c>
      <c r="AW42" t="s">
        <v>87</v>
      </c>
      <c r="AX42" t="s">
        <v>87</v>
      </c>
      <c r="AY42" t="s">
        <v>94</v>
      </c>
      <c r="AZ42">
        <v>5</v>
      </c>
      <c r="BA42" cm="1">
        <f t="array" ref="BA42">_xlfn.IFS(AND(AB42 = "N", AA42 = "N", AF42 &lt;&gt; "Concentrated", AC42 = "N",H42="MARGIN_LOAN"), 10,
AND(AB42 = "N", AA42 = "N", AF42 &lt;&gt; "Concentrated", AC42 = "N",H42="SFT"), 5,
AND(AB42 = "N", AA42 = "N", AF42 &lt;&gt; "Concentrated", AC42 = "Y",H42="MARGIN_LOAN"), 20,
AND(AB42 = "N", AA42 = "N", AF42 &lt;&gt; "Concentrated", AC42 = "Y",H42="SFT"), 10,
AND(AB42 = "Y", AA42 = "N", AF42 &lt;&gt; "Concentrated", AC42 = "N"), 20,
AND(AB42 = "Y", AA42 = "N", AF42 &lt;&gt; "Concentrated", AC42 = "Y"), 40,
AND(AB42 = "N",  OR(AA42 = "Y", AF42 = "Concentrated"), AC42 = "N"), 20,
AND(AB42 = "N",  OR(AA42 = "Y", AF42 = "Concentrated"), AC42 = "Y"), 40,
AND(AB42 = "Y",  OR(AA42 = "Y", AF42 = "Concentrated"), AC42 = "N"), 20,
AND(AB42 = "Y",  OR(AA42 = "Y", AF42 = "Concentrated"), AC42 = "Y"), 40)</f>
        <v>20</v>
      </c>
      <c r="BB42">
        <f t="shared" si="0"/>
        <v>20</v>
      </c>
      <c r="BC42">
        <f t="shared" si="4"/>
        <v>5</v>
      </c>
      <c r="BD42">
        <f t="shared" si="2"/>
        <v>5</v>
      </c>
      <c r="BE42">
        <v>5</v>
      </c>
      <c r="BF42">
        <v>1</v>
      </c>
      <c r="BG42" t="str">
        <f t="shared" si="3"/>
        <v>SCENARIO</v>
      </c>
      <c r="BH42" t="s">
        <v>89</v>
      </c>
      <c r="BI42" t="b">
        <v>1</v>
      </c>
      <c r="BJ42">
        <v>1</v>
      </c>
      <c r="BK42">
        <v>1</v>
      </c>
      <c r="BL42" t="s">
        <v>87</v>
      </c>
      <c r="BM42" t="s">
        <v>87</v>
      </c>
      <c r="BN42">
        <v>8000</v>
      </c>
      <c r="BP42" s="4">
        <v>8799782</v>
      </c>
      <c r="BQ42">
        <v>5</v>
      </c>
      <c r="BR42">
        <v>20</v>
      </c>
      <c r="BS42">
        <v>100000010</v>
      </c>
      <c r="BT42" t="s">
        <v>153</v>
      </c>
    </row>
    <row r="43" spans="1:72" x14ac:dyDescent="0.35">
      <c r="A43" s="1">
        <v>45837</v>
      </c>
      <c r="B43" t="s">
        <v>72</v>
      </c>
      <c r="C43">
        <v>12</v>
      </c>
      <c r="D43">
        <v>100000001</v>
      </c>
      <c r="E43">
        <v>10</v>
      </c>
      <c r="F43">
        <v>10</v>
      </c>
      <c r="G43" t="s">
        <v>73</v>
      </c>
      <c r="H43" t="s">
        <v>117</v>
      </c>
      <c r="I43">
        <v>1</v>
      </c>
      <c r="J43">
        <v>163186</v>
      </c>
      <c r="K43">
        <v>45918726</v>
      </c>
      <c r="L43" t="s">
        <v>75</v>
      </c>
      <c r="M43">
        <v>1</v>
      </c>
      <c r="N43">
        <v>2</v>
      </c>
      <c r="O43">
        <v>1</v>
      </c>
      <c r="P43">
        <v>2</v>
      </c>
      <c r="Q43">
        <v>5</v>
      </c>
      <c r="R43">
        <v>0</v>
      </c>
      <c r="S43">
        <v>5</v>
      </c>
      <c r="T43" t="s">
        <v>76</v>
      </c>
      <c r="U43" t="s">
        <v>77</v>
      </c>
      <c r="V43" t="s">
        <v>154</v>
      </c>
      <c r="W43" t="s">
        <v>154</v>
      </c>
      <c r="X43" t="s">
        <v>79</v>
      </c>
      <c r="Y43" t="s">
        <v>80</v>
      </c>
      <c r="Z43" t="s">
        <v>73</v>
      </c>
      <c r="AA43" t="s">
        <v>80</v>
      </c>
      <c r="AB43" t="s">
        <v>80</v>
      </c>
      <c r="AC43" t="s">
        <v>80</v>
      </c>
      <c r="AD43" t="s">
        <v>73</v>
      </c>
      <c r="AE43" t="s">
        <v>73</v>
      </c>
      <c r="AF43" t="s">
        <v>81</v>
      </c>
      <c r="AG43" t="b">
        <v>0</v>
      </c>
      <c r="AH43" t="s">
        <v>73</v>
      </c>
      <c r="AI43" t="s">
        <v>80</v>
      </c>
      <c r="AJ43" t="s">
        <v>82</v>
      </c>
      <c r="AK43" t="s">
        <v>93</v>
      </c>
      <c r="AL43">
        <v>1</v>
      </c>
      <c r="AM43">
        <v>0.25</v>
      </c>
      <c r="AN43" t="s">
        <v>83</v>
      </c>
      <c r="AO43" t="s">
        <v>84</v>
      </c>
      <c r="AP43" t="s">
        <v>85</v>
      </c>
      <c r="AQ43" s="1">
        <v>45841</v>
      </c>
      <c r="AR43" s="1">
        <v>45841</v>
      </c>
      <c r="AS43" t="s">
        <v>87</v>
      </c>
      <c r="AT43" t="s">
        <v>87</v>
      </c>
      <c r="AU43" t="s">
        <v>87</v>
      </c>
      <c r="AV43" t="s">
        <v>87</v>
      </c>
      <c r="AW43" t="s">
        <v>87</v>
      </c>
      <c r="AX43" t="s">
        <v>87</v>
      </c>
      <c r="AY43" t="s">
        <v>88</v>
      </c>
      <c r="AZ43">
        <v>5</v>
      </c>
      <c r="BA43" cm="1">
        <f t="array" ref="BA43">_xlfn.IFS(AND(AB43 = "N", AA43 = "N", AF43 &lt;&gt; "Concentrated", AC43 = "N",H43="MARGIN_LOAN"), 10,
AND(AB43 = "N", AA43 = "N", AF43 &lt;&gt; "Concentrated", AC43 = "N",H43="SFT"), 5,
AND(AB43 = "N", AA43 = "N", AF43 &lt;&gt; "Concentrated", AC43 = "Y",H43="MARGIN_LOAN"), 20,
AND(AB43 = "N", AA43 = "N", AF43 &lt;&gt; "Concentrated", AC43 = "Y",H43="SFT"), 10,
AND(AB43 = "Y", AA43 = "N", AF43 &lt;&gt; "Concentrated", AC43 = "N"), 20,
AND(AB43 = "Y", AA43 = "N", AF43 &lt;&gt; "Concentrated", AC43 = "Y"), 40,
AND(AB43 = "N",  OR(AA43 = "Y", AF43 = "Concentrated"), AC43 = "N"), 20,
AND(AB43 = "N",  OR(AA43 = "Y", AF43 = "Concentrated"), AC43 = "Y"), 40,
AND(AB43 = "Y",  OR(AA43 = "Y", AF43 = "Concentrated"), AC43 = "N"), 20,
AND(AB43 = "Y",  OR(AA43 = "Y", AF43 = "Concentrated"), AC43 = "Y"), 40)</f>
        <v>20</v>
      </c>
      <c r="BB43">
        <f t="shared" si="0"/>
        <v>20</v>
      </c>
      <c r="BC43">
        <f t="shared" si="4"/>
        <v>5</v>
      </c>
      <c r="BD43">
        <f t="shared" si="2"/>
        <v>5</v>
      </c>
      <c r="BE43">
        <v>5</v>
      </c>
      <c r="BF43">
        <v>1</v>
      </c>
      <c r="BG43" t="str">
        <f t="shared" si="3"/>
        <v>SCENARIO</v>
      </c>
      <c r="BH43" t="s">
        <v>89</v>
      </c>
      <c r="BI43" t="b">
        <v>1</v>
      </c>
      <c r="BJ43">
        <v>1</v>
      </c>
      <c r="BK43">
        <v>1</v>
      </c>
      <c r="BL43" t="s">
        <v>87</v>
      </c>
      <c r="BM43" t="s">
        <v>87</v>
      </c>
      <c r="BN43">
        <v>1000</v>
      </c>
      <c r="BP43" s="4">
        <v>1316465</v>
      </c>
      <c r="BQ43">
        <v>5</v>
      </c>
      <c r="BR43">
        <v>20</v>
      </c>
      <c r="BS43">
        <v>100000010</v>
      </c>
      <c r="BT43" t="s">
        <v>153</v>
      </c>
    </row>
    <row r="44" spans="1:72" x14ac:dyDescent="0.35">
      <c r="A44" s="1">
        <v>45837</v>
      </c>
      <c r="B44" t="s">
        <v>72</v>
      </c>
      <c r="C44">
        <v>12</v>
      </c>
      <c r="D44">
        <v>100000001</v>
      </c>
      <c r="E44">
        <v>10</v>
      </c>
      <c r="F44">
        <v>10</v>
      </c>
      <c r="G44" t="s">
        <v>73</v>
      </c>
      <c r="H44" t="s">
        <v>117</v>
      </c>
      <c r="I44">
        <v>15</v>
      </c>
      <c r="J44">
        <v>163186</v>
      </c>
      <c r="K44">
        <v>98026346</v>
      </c>
      <c r="L44" t="s">
        <v>75</v>
      </c>
      <c r="M44">
        <v>1</v>
      </c>
      <c r="N44">
        <v>2</v>
      </c>
      <c r="O44">
        <v>1</v>
      </c>
      <c r="P44">
        <v>2</v>
      </c>
      <c r="Q44">
        <v>5</v>
      </c>
      <c r="R44">
        <v>0</v>
      </c>
      <c r="S44">
        <v>5</v>
      </c>
      <c r="T44" t="s">
        <v>76</v>
      </c>
      <c r="U44" t="s">
        <v>77</v>
      </c>
      <c r="V44" t="s">
        <v>155</v>
      </c>
      <c r="W44" t="s">
        <v>155</v>
      </c>
      <c r="X44" t="s">
        <v>79</v>
      </c>
      <c r="Y44" t="s">
        <v>80</v>
      </c>
      <c r="Z44" t="s">
        <v>73</v>
      </c>
      <c r="AA44" t="s">
        <v>80</v>
      </c>
      <c r="AB44" t="s">
        <v>80</v>
      </c>
      <c r="AC44" t="s">
        <v>80</v>
      </c>
      <c r="AD44" t="s">
        <v>73</v>
      </c>
      <c r="AE44" t="s">
        <v>73</v>
      </c>
      <c r="AF44" t="s">
        <v>81</v>
      </c>
      <c r="AG44" t="b">
        <v>0</v>
      </c>
      <c r="AH44" t="s">
        <v>73</v>
      </c>
      <c r="AI44" t="s">
        <v>80</v>
      </c>
      <c r="AJ44" t="s">
        <v>82</v>
      </c>
      <c r="AL44">
        <v>1</v>
      </c>
      <c r="AM44">
        <v>0.25</v>
      </c>
      <c r="AN44" t="s">
        <v>83</v>
      </c>
      <c r="AO44" t="s">
        <v>84</v>
      </c>
      <c r="AP44" t="s">
        <v>85</v>
      </c>
      <c r="AQ44" s="1">
        <v>45841</v>
      </c>
      <c r="AR44" s="1">
        <v>45841</v>
      </c>
      <c r="AS44" t="s">
        <v>87</v>
      </c>
      <c r="AT44" t="s">
        <v>87</v>
      </c>
      <c r="AV44" t="s">
        <v>87</v>
      </c>
      <c r="AW44" t="s">
        <v>87</v>
      </c>
      <c r="AX44" t="s">
        <v>87</v>
      </c>
      <c r="AY44" t="s">
        <v>88</v>
      </c>
      <c r="AZ44">
        <v>5</v>
      </c>
      <c r="BA44" cm="1">
        <f t="array" ref="BA44">_xlfn.IFS(AND(AB44 = "N", AA44 = "N", AF44 &lt;&gt; "Concentrated", AC44 = "N",H44="MARGIN_LOAN"), 10,
AND(AB44 = "N", AA44 = "N", AF44 &lt;&gt; "Concentrated", AC44 = "N",H44="SFT"), 5,
AND(AB44 = "N", AA44 = "N", AF44 &lt;&gt; "Concentrated", AC44 = "Y",H44="MARGIN_LOAN"), 20,
AND(AB44 = "N", AA44 = "N", AF44 &lt;&gt; "Concentrated", AC44 = "Y",H44="SFT"), 10,
AND(AB44 = "Y", AA44 = "N", AF44 &lt;&gt; "Concentrated", AC44 = "N"), 20,
AND(AB44 = "Y", AA44 = "N", AF44 &lt;&gt; "Concentrated", AC44 = "Y"), 40,
AND(AB44 = "N",  OR(AA44 = "Y", AF44 = "Concentrated"), AC44 = "N"), 20,
AND(AB44 = "N",  OR(AA44 = "Y", AF44 = "Concentrated"), AC44 = "Y"), 40,
AND(AB44 = "Y",  OR(AA44 = "Y", AF44 = "Concentrated"), AC44 = "N"), 20,
AND(AB44 = "Y",  OR(AA44 = "Y", AF44 = "Concentrated"), AC44 = "Y"), 40)</f>
        <v>20</v>
      </c>
      <c r="BB44">
        <f t="shared" si="0"/>
        <v>20</v>
      </c>
      <c r="BC44">
        <f t="shared" si="4"/>
        <v>5</v>
      </c>
      <c r="BD44">
        <f t="shared" si="2"/>
        <v>5</v>
      </c>
      <c r="BE44">
        <v>5</v>
      </c>
      <c r="BF44">
        <v>1</v>
      </c>
      <c r="BG44" t="str">
        <f t="shared" si="3"/>
        <v>SCENARIO</v>
      </c>
      <c r="BH44" t="s">
        <v>89</v>
      </c>
      <c r="BI44" t="b">
        <v>1</v>
      </c>
      <c r="BJ44">
        <v>1</v>
      </c>
      <c r="BK44">
        <v>1</v>
      </c>
      <c r="BM44" t="s">
        <v>87</v>
      </c>
      <c r="BN44">
        <v>20000</v>
      </c>
      <c r="BP44" s="4">
        <v>1584420</v>
      </c>
      <c r="BQ44">
        <v>5</v>
      </c>
      <c r="BR44">
        <v>20</v>
      </c>
      <c r="BS44">
        <v>100000010</v>
      </c>
      <c r="BT44" t="s">
        <v>153</v>
      </c>
    </row>
    <row r="45" spans="1:72" x14ac:dyDescent="0.35">
      <c r="A45" s="1">
        <v>45837</v>
      </c>
      <c r="B45" t="s">
        <v>72</v>
      </c>
      <c r="C45">
        <v>12</v>
      </c>
      <c r="D45">
        <v>100000001</v>
      </c>
      <c r="E45">
        <v>10</v>
      </c>
      <c r="F45">
        <v>10</v>
      </c>
      <c r="G45" t="s">
        <v>73</v>
      </c>
      <c r="H45" t="s">
        <v>117</v>
      </c>
      <c r="I45">
        <v>1</v>
      </c>
      <c r="J45">
        <v>163186</v>
      </c>
      <c r="K45">
        <v>81371582</v>
      </c>
      <c r="L45" t="s">
        <v>75</v>
      </c>
      <c r="M45">
        <v>1</v>
      </c>
      <c r="N45">
        <v>2</v>
      </c>
      <c r="O45">
        <v>1</v>
      </c>
      <c r="P45">
        <v>2</v>
      </c>
      <c r="Q45">
        <v>5</v>
      </c>
      <c r="R45">
        <v>0</v>
      </c>
      <c r="S45">
        <v>40</v>
      </c>
      <c r="T45" t="s">
        <v>76</v>
      </c>
      <c r="U45" t="s">
        <v>77</v>
      </c>
      <c r="V45" t="s">
        <v>156</v>
      </c>
      <c r="W45" t="s">
        <v>156</v>
      </c>
      <c r="X45" t="s">
        <v>79</v>
      </c>
      <c r="Y45" t="s">
        <v>80</v>
      </c>
      <c r="Z45" t="s">
        <v>73</v>
      </c>
      <c r="AA45" t="s">
        <v>73</v>
      </c>
      <c r="AB45" t="s">
        <v>80</v>
      </c>
      <c r="AC45" t="s">
        <v>80</v>
      </c>
      <c r="AD45" t="s">
        <v>73</v>
      </c>
      <c r="AE45" t="s">
        <v>73</v>
      </c>
      <c r="AF45" t="s">
        <v>81</v>
      </c>
      <c r="AG45" t="b">
        <v>0</v>
      </c>
      <c r="AH45" t="s">
        <v>73</v>
      </c>
      <c r="AI45" t="s">
        <v>80</v>
      </c>
      <c r="AJ45" t="s">
        <v>82</v>
      </c>
      <c r="AL45">
        <v>1</v>
      </c>
      <c r="AM45">
        <v>0.25</v>
      </c>
      <c r="AN45" t="s">
        <v>83</v>
      </c>
      <c r="AO45" t="s">
        <v>84</v>
      </c>
      <c r="AP45" t="s">
        <v>85</v>
      </c>
      <c r="AQ45" s="1">
        <v>45841</v>
      </c>
      <c r="AR45" s="1">
        <v>45841</v>
      </c>
      <c r="AS45" t="s">
        <v>87</v>
      </c>
      <c r="AT45" t="s">
        <v>87</v>
      </c>
      <c r="AU45" t="s">
        <v>87</v>
      </c>
      <c r="AV45" t="s">
        <v>87</v>
      </c>
      <c r="AW45" t="s">
        <v>87</v>
      </c>
      <c r="AX45" t="s">
        <v>87</v>
      </c>
      <c r="AY45" t="s">
        <v>88</v>
      </c>
      <c r="AZ45">
        <v>5</v>
      </c>
      <c r="BA45" cm="1">
        <f t="array" ref="BA45">_xlfn.IFS(AND(AB45 = "N", AA45 = "N", AF45 &lt;&gt; "Concentrated", AC45 = "N",H45="MARGIN_LOAN"), 10,
AND(AB45 = "N", AA45 = "N", AF45 &lt;&gt; "Concentrated", AC45 = "N",H45="SFT"), 5,
AND(AB45 = "N", AA45 = "N", AF45 &lt;&gt; "Concentrated", AC45 = "Y",H45="MARGIN_LOAN"), 20,
AND(AB45 = "N", AA45 = "N", AF45 &lt;&gt; "Concentrated", AC45 = "Y",H45="SFT"), 10,
AND(AB45 = "Y", AA45 = "N", AF45 &lt;&gt; "Concentrated", AC45 = "N"), 20,
AND(AB45 = "Y", AA45 = "N", AF45 &lt;&gt; "Concentrated", AC45 = "Y"), 40,
AND(AB45 = "N",  OR(AA45 = "Y", AF45 = "Concentrated"), AC45 = "N"), 20,
AND(AB45 = "N",  OR(AA45 = "Y", AF45 = "Concentrated"), AC45 = "Y"), 40,
AND(AB45 = "Y",  OR(AA45 = "Y", AF45 = "Concentrated"), AC45 = "N"), 20,
AND(AB45 = "Y",  OR(AA45 = "Y", AF45 = "Concentrated"), AC45 = "Y"), 40)</f>
        <v>20</v>
      </c>
      <c r="BB45">
        <f t="shared" si="0"/>
        <v>20</v>
      </c>
      <c r="BC45">
        <f t="shared" si="4"/>
        <v>5</v>
      </c>
      <c r="BD45">
        <f t="shared" si="2"/>
        <v>5</v>
      </c>
      <c r="BE45">
        <v>5</v>
      </c>
      <c r="BF45">
        <v>1</v>
      </c>
      <c r="BG45" t="str">
        <f t="shared" si="3"/>
        <v>SCENARIO</v>
      </c>
      <c r="BH45" t="s">
        <v>89</v>
      </c>
      <c r="BI45" t="b">
        <v>1</v>
      </c>
      <c r="BJ45">
        <v>0</v>
      </c>
      <c r="BK45">
        <v>1</v>
      </c>
      <c r="BL45" t="s">
        <v>87</v>
      </c>
      <c r="BM45" t="s">
        <v>87</v>
      </c>
      <c r="BN45">
        <v>20000</v>
      </c>
      <c r="BP45" s="4">
        <v>19029</v>
      </c>
      <c r="BQ45">
        <v>5</v>
      </c>
      <c r="BR45">
        <v>20</v>
      </c>
      <c r="BS45">
        <v>100000010</v>
      </c>
      <c r="BT45" t="s">
        <v>153</v>
      </c>
    </row>
  </sheetData>
  <autoFilter ref="A1:BT45" xr:uid="{9CE6C133-E1A4-4714-9385-C25DA1CAD29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4695-4514-4425-BC50-C5F252A6A7DD}">
  <dimension ref="A1:BT45"/>
  <sheetViews>
    <sheetView topLeftCell="H16" workbookViewId="0">
      <selection activeCell="V42" sqref="V42"/>
    </sheetView>
  </sheetViews>
  <sheetFormatPr defaultRowHeight="14.5" x14ac:dyDescent="0.35"/>
  <cols>
    <col min="52" max="66" width="0" hidden="1" customWidth="1"/>
    <col min="67" max="67" width="12" bestFit="1" customWidth="1"/>
    <col min="68" max="68" width="14.7265625" style="3" bestFit="1" customWidth="1"/>
  </cols>
  <sheetData>
    <row r="1" spans="1:7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s="3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 x14ac:dyDescent="0.35">
      <c r="A2" s="1">
        <v>45838</v>
      </c>
      <c r="B2" t="s">
        <v>72</v>
      </c>
      <c r="C2">
        <v>12</v>
      </c>
      <c r="D2">
        <v>100000001</v>
      </c>
      <c r="E2">
        <v>1</v>
      </c>
      <c r="F2">
        <v>1</v>
      </c>
      <c r="G2" t="s">
        <v>73</v>
      </c>
      <c r="H2" t="s">
        <v>74</v>
      </c>
      <c r="I2">
        <v>15</v>
      </c>
      <c r="J2">
        <v>163186</v>
      </c>
      <c r="K2">
        <v>59328417</v>
      </c>
      <c r="L2" t="s">
        <v>75</v>
      </c>
      <c r="M2">
        <v>1</v>
      </c>
      <c r="N2">
        <v>2</v>
      </c>
      <c r="O2">
        <v>1</v>
      </c>
      <c r="P2">
        <v>2</v>
      </c>
      <c r="Q2">
        <v>5</v>
      </c>
      <c r="R2">
        <v>0</v>
      </c>
      <c r="S2">
        <v>5</v>
      </c>
      <c r="T2" t="s">
        <v>76</v>
      </c>
      <c r="U2" t="s">
        <v>77</v>
      </c>
      <c r="V2" t="s">
        <v>78</v>
      </c>
      <c r="W2" t="s">
        <v>78</v>
      </c>
      <c r="X2" t="s">
        <v>79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73</v>
      </c>
      <c r="AE2" t="s">
        <v>73</v>
      </c>
      <c r="AF2" t="s">
        <v>81</v>
      </c>
      <c r="AG2" t="b">
        <v>0</v>
      </c>
      <c r="AH2" t="s">
        <v>73</v>
      </c>
      <c r="AI2" t="s">
        <v>80</v>
      </c>
      <c r="AJ2" t="s">
        <v>82</v>
      </c>
      <c r="AL2">
        <v>1</v>
      </c>
      <c r="AM2">
        <v>0.15</v>
      </c>
      <c r="AN2" t="s">
        <v>83</v>
      </c>
      <c r="AO2" t="s">
        <v>84</v>
      </c>
      <c r="AP2" t="s">
        <v>85</v>
      </c>
      <c r="AQ2" s="1">
        <v>1</v>
      </c>
      <c r="AW2" t="s">
        <v>87</v>
      </c>
      <c r="AX2" t="s">
        <v>87</v>
      </c>
      <c r="AY2" t="s">
        <v>88</v>
      </c>
      <c r="AZ2">
        <v>10</v>
      </c>
      <c r="BA2" cm="1">
        <f t="array" ref="BA2">_xlfn.IFS(AND(AB2 = "N", AA2 = "N", AF2 &lt;&gt; "Concentrated", AC2 = "N",H2="MARGIN_LOAN"), 10,
AND(AB2 = "N", AA2 = "N", AF2 &lt;&gt; "Concentrated", AC2 = "N",H2="SFT"), 5,
AND(AB2 = "N", AA2 = "N", AF2 &lt;&gt; "Concentrated", AC2 = "Y",H2="MARGIN_LOAN"), 20,
AND(AB2 = "N", AA2 = "N", AF2 &lt;&gt; "Concentrated", AC2 = "Y",H2="SFT"), 10,
AND(AB2 = "Y", AA2 = "N", AF2 &lt;&gt; "Concentrated", AC2 = "N"), 20,
AND(AB2 = "Y", AA2 = "N", AF2 &lt;&gt; "Concentrated", AC2 = "Y"), 40,
AND(AB2 = "N",  OR(AA2 = "Y", AF2 = "Concentrated"), AC2 = "N"), 20,
AND(AB2 = "N",  OR(AA2 = "Y", AF2 = "Concentrated"), AC2 = "Y"), 40,
AND(AB2 = "Y",  OR(AA2 = "Y", AF2 = "Concentrated"), AC2 = "N"), 20,
AND(AB2 = "Y",  OR(AA2 = "Y", AF2 = "Concentrated"), AC2 = "Y"), 40)</f>
        <v>20</v>
      </c>
      <c r="BB2">
        <f t="shared" ref="BB2:BB45" si="0">_xlfn.MAXIFS(BA:BA,E:E,E2)</f>
        <v>20</v>
      </c>
      <c r="BC2">
        <f>IF(OR(BH2="SCENARIO1",BH2="SCENARIO2"),10,BA2)</f>
        <v>10</v>
      </c>
      <c r="BD2">
        <f t="shared" ref="BD2:BD45" si="1">_xlfn.MAXIFS(BC:BC,E:E,E2)</f>
        <v>10</v>
      </c>
      <c r="BE2">
        <v>10</v>
      </c>
      <c r="BF2">
        <v>1</v>
      </c>
      <c r="BG2" t="str">
        <f>IF(AND(AB2 = "N", AC2 = "N", OR(Z2="Y",AD2="Y")), "SCENARIO","NA")</f>
        <v>SCENARIO</v>
      </c>
      <c r="BH2" t="s">
        <v>89</v>
      </c>
      <c r="BI2" t="b">
        <v>1</v>
      </c>
      <c r="BJ2">
        <v>1</v>
      </c>
      <c r="BK2">
        <v>1</v>
      </c>
      <c r="BM2" t="s">
        <v>86</v>
      </c>
      <c r="BN2">
        <v>18000</v>
      </c>
      <c r="BP2" s="4">
        <v>891186.97</v>
      </c>
      <c r="BQ2">
        <v>10</v>
      </c>
      <c r="BR2">
        <v>20</v>
      </c>
      <c r="BS2">
        <v>100000001</v>
      </c>
      <c r="BT2" t="s">
        <v>90</v>
      </c>
    </row>
    <row r="3" spans="1:72" x14ac:dyDescent="0.35">
      <c r="A3" s="1">
        <v>45838</v>
      </c>
      <c r="B3" t="s">
        <v>72</v>
      </c>
      <c r="C3">
        <v>12</v>
      </c>
      <c r="D3">
        <v>100000001</v>
      </c>
      <c r="E3">
        <v>1</v>
      </c>
      <c r="F3">
        <v>1</v>
      </c>
      <c r="G3" t="s">
        <v>73</v>
      </c>
      <c r="H3" t="s">
        <v>74</v>
      </c>
      <c r="I3">
        <v>15</v>
      </c>
      <c r="J3">
        <v>163186</v>
      </c>
      <c r="K3">
        <v>81426350</v>
      </c>
      <c r="L3" t="s">
        <v>75</v>
      </c>
      <c r="M3">
        <v>1</v>
      </c>
      <c r="N3">
        <v>2</v>
      </c>
      <c r="O3">
        <v>1</v>
      </c>
      <c r="P3">
        <v>2</v>
      </c>
      <c r="Q3">
        <v>5</v>
      </c>
      <c r="R3">
        <v>0</v>
      </c>
      <c r="S3">
        <v>5</v>
      </c>
      <c r="T3" t="s">
        <v>76</v>
      </c>
      <c r="U3" t="s">
        <v>77</v>
      </c>
      <c r="V3" t="s">
        <v>91</v>
      </c>
      <c r="W3" t="s">
        <v>91</v>
      </c>
      <c r="X3" t="s">
        <v>79</v>
      </c>
      <c r="Y3" t="s">
        <v>80</v>
      </c>
      <c r="Z3" t="s">
        <v>80</v>
      </c>
      <c r="AA3" t="s">
        <v>80</v>
      </c>
      <c r="AB3" t="s">
        <v>80</v>
      </c>
      <c r="AC3" t="s">
        <v>80</v>
      </c>
      <c r="AD3" t="s">
        <v>73</v>
      </c>
      <c r="AE3" t="s">
        <v>73</v>
      </c>
      <c r="AF3" t="s">
        <v>81</v>
      </c>
      <c r="AG3" t="b">
        <v>0</v>
      </c>
      <c r="AH3" t="s">
        <v>73</v>
      </c>
      <c r="AI3" t="s">
        <v>80</v>
      </c>
      <c r="AJ3" t="s">
        <v>82</v>
      </c>
      <c r="AL3">
        <v>1</v>
      </c>
      <c r="AM3">
        <v>0.25</v>
      </c>
      <c r="AN3" t="s">
        <v>83</v>
      </c>
      <c r="AO3" t="s">
        <v>84</v>
      </c>
      <c r="AP3" t="s">
        <v>85</v>
      </c>
      <c r="AQ3" s="1">
        <v>1</v>
      </c>
      <c r="AS3" t="s">
        <v>87</v>
      </c>
      <c r="AT3" t="s">
        <v>87</v>
      </c>
      <c r="AV3" t="s">
        <v>87</v>
      </c>
      <c r="AW3" t="s">
        <v>87</v>
      </c>
      <c r="AX3" t="s">
        <v>87</v>
      </c>
      <c r="AY3" t="s">
        <v>88</v>
      </c>
      <c r="AZ3">
        <v>10</v>
      </c>
      <c r="BA3" cm="1">
        <f t="array" ref="BA3">_xlfn.IFS(AND(AB3 = "N", AA3 = "N", AF3 &lt;&gt; "Concentrated", AC3 = "N",H3="MARGIN_LOAN"), 10,
AND(AB3 = "N", AA3 = "N", AF3 &lt;&gt; "Concentrated", AC3 = "N",H3="SFT"), 5,
AND(AB3 = "N", AA3 = "N", AF3 &lt;&gt; "Concentrated", AC3 = "Y",H3="MARGIN_LOAN"), 20,
AND(AB3 = "N", AA3 = "N", AF3 &lt;&gt; "Concentrated", AC3 = "Y",H3="SFT"), 10,
AND(AB3 = "Y", AA3 = "N", AF3 &lt;&gt; "Concentrated", AC3 = "N"), 20,
AND(AB3 = "Y", AA3 = "N", AF3 &lt;&gt; "Concentrated", AC3 = "Y"), 40,
AND(AB3 = "N",  OR(AA3 = "Y", AF3 = "Concentrated"), AC3 = "N"), 20,
AND(AB3 = "N",  OR(AA3 = "Y", AF3 = "Concentrated"), AC3 = "Y"), 40,
AND(AB3 = "Y",  OR(AA3 = "Y", AF3 = "Concentrated"), AC3 = "N"), 20,
AND(AB3 = "Y",  OR(AA3 = "Y", AF3 = "Concentrated"), AC3 = "Y"), 40)</f>
        <v>20</v>
      </c>
      <c r="BB3">
        <f t="shared" si="0"/>
        <v>20</v>
      </c>
      <c r="BC3">
        <f t="shared" ref="BC3:BC16" si="2">IF(OR(BH3="SCENARIO1",BH3="SCENARIO2"),10,BA3)</f>
        <v>10</v>
      </c>
      <c r="BD3">
        <f t="shared" si="1"/>
        <v>10</v>
      </c>
      <c r="BE3">
        <v>10</v>
      </c>
      <c r="BF3">
        <v>1</v>
      </c>
      <c r="BG3" t="str">
        <f t="shared" ref="BG3:BG45" si="3">IF(AND(AB3 = "N", AC3 = "N", OR(Z3="Y",AD3="Y")), "SCENARIO","NA")</f>
        <v>SCENARIO</v>
      </c>
      <c r="BH3" t="s">
        <v>89</v>
      </c>
      <c r="BI3" t="b">
        <v>1</v>
      </c>
      <c r="BJ3">
        <v>1</v>
      </c>
      <c r="BK3">
        <v>1</v>
      </c>
      <c r="BM3" t="s">
        <v>87</v>
      </c>
      <c r="BN3">
        <v>8000</v>
      </c>
      <c r="BP3" s="4">
        <v>113431.08</v>
      </c>
      <c r="BQ3">
        <v>10</v>
      </c>
      <c r="BR3">
        <v>20</v>
      </c>
      <c r="BS3">
        <v>100000001</v>
      </c>
      <c r="BT3" t="s">
        <v>90</v>
      </c>
    </row>
    <row r="4" spans="1:72" x14ac:dyDescent="0.35">
      <c r="A4" s="1">
        <v>45838</v>
      </c>
      <c r="B4" t="s">
        <v>72</v>
      </c>
      <c r="C4">
        <v>12</v>
      </c>
      <c r="D4">
        <v>100000001</v>
      </c>
      <c r="E4">
        <v>1</v>
      </c>
      <c r="F4">
        <v>1</v>
      </c>
      <c r="G4" t="s">
        <v>73</v>
      </c>
      <c r="H4" t="s">
        <v>74</v>
      </c>
      <c r="I4">
        <v>15</v>
      </c>
      <c r="J4">
        <v>163186</v>
      </c>
      <c r="K4">
        <v>70219543</v>
      </c>
      <c r="L4" t="s">
        <v>75</v>
      </c>
      <c r="M4">
        <v>1</v>
      </c>
      <c r="N4">
        <v>2</v>
      </c>
      <c r="O4">
        <v>1</v>
      </c>
      <c r="P4">
        <v>2</v>
      </c>
      <c r="Q4">
        <v>5</v>
      </c>
      <c r="R4">
        <v>0</v>
      </c>
      <c r="S4">
        <v>5</v>
      </c>
      <c r="T4" t="s">
        <v>76</v>
      </c>
      <c r="U4" t="s">
        <v>77</v>
      </c>
      <c r="V4" t="s">
        <v>92</v>
      </c>
      <c r="W4" t="s">
        <v>92</v>
      </c>
      <c r="X4" t="s">
        <v>79</v>
      </c>
      <c r="Y4" t="s">
        <v>80</v>
      </c>
      <c r="Z4" t="s">
        <v>80</v>
      </c>
      <c r="AA4" t="s">
        <v>80</v>
      </c>
      <c r="AB4" t="s">
        <v>80</v>
      </c>
      <c r="AC4" t="s">
        <v>80</v>
      </c>
      <c r="AD4" t="s">
        <v>73</v>
      </c>
      <c r="AE4" t="s">
        <v>73</v>
      </c>
      <c r="AF4" t="s">
        <v>81</v>
      </c>
      <c r="AG4" t="b">
        <v>0</v>
      </c>
      <c r="AH4" t="s">
        <v>73</v>
      </c>
      <c r="AI4" t="s">
        <v>80</v>
      </c>
      <c r="AJ4" t="s">
        <v>82</v>
      </c>
      <c r="AK4" t="s">
        <v>93</v>
      </c>
      <c r="AL4">
        <v>1</v>
      </c>
      <c r="AM4">
        <v>0.25</v>
      </c>
      <c r="AN4" t="s">
        <v>83</v>
      </c>
      <c r="AO4" t="s">
        <v>84</v>
      </c>
      <c r="AP4" t="s">
        <v>85</v>
      </c>
      <c r="AQ4" s="1">
        <v>1</v>
      </c>
      <c r="AS4" t="s">
        <v>87</v>
      </c>
      <c r="AT4" t="s">
        <v>87</v>
      </c>
      <c r="AV4" t="s">
        <v>87</v>
      </c>
      <c r="AW4" t="s">
        <v>87</v>
      </c>
      <c r="AX4" t="s">
        <v>87</v>
      </c>
      <c r="AY4" t="s">
        <v>94</v>
      </c>
      <c r="AZ4">
        <v>10</v>
      </c>
      <c r="BA4" cm="1">
        <f t="array" ref="BA4">_xlfn.IFS(AND(AB4 = "N", AA4 = "N", AF4 &lt;&gt; "Concentrated", AC4 = "N",H4="MARGIN_LOAN"), 10,
AND(AB4 = "N", AA4 = "N", AF4 &lt;&gt; "Concentrated", AC4 = "N",H4="SFT"), 5,
AND(AB4 = "N", AA4 = "N", AF4 &lt;&gt; "Concentrated", AC4 = "Y",H4="MARGIN_LOAN"), 20,
AND(AB4 = "N", AA4 = "N", AF4 &lt;&gt; "Concentrated", AC4 = "Y",H4="SFT"), 10,
AND(AB4 = "Y", AA4 = "N", AF4 &lt;&gt; "Concentrated", AC4 = "N"), 20,
AND(AB4 = "Y", AA4 = "N", AF4 &lt;&gt; "Concentrated", AC4 = "Y"), 40,
AND(AB4 = "N",  OR(AA4 = "Y", AF4 = "Concentrated"), AC4 = "N"), 20,
AND(AB4 = "N",  OR(AA4 = "Y", AF4 = "Concentrated"), AC4 = "Y"), 40,
AND(AB4 = "Y",  OR(AA4 = "Y", AF4 = "Concentrated"), AC4 = "N"), 20,
AND(AB4 = "Y",  OR(AA4 = "Y", AF4 = "Concentrated"), AC4 = "Y"), 40)</f>
        <v>20</v>
      </c>
      <c r="BB4">
        <f t="shared" si="0"/>
        <v>20</v>
      </c>
      <c r="BC4">
        <f t="shared" si="2"/>
        <v>10</v>
      </c>
      <c r="BD4">
        <f t="shared" si="1"/>
        <v>10</v>
      </c>
      <c r="BE4">
        <v>10</v>
      </c>
      <c r="BF4">
        <v>1</v>
      </c>
      <c r="BG4" t="str">
        <f t="shared" si="3"/>
        <v>SCENARIO</v>
      </c>
      <c r="BH4" t="s">
        <v>89</v>
      </c>
      <c r="BI4" t="b">
        <v>1</v>
      </c>
      <c r="BJ4">
        <v>1</v>
      </c>
      <c r="BK4">
        <v>1</v>
      </c>
      <c r="BL4" t="s">
        <v>87</v>
      </c>
      <c r="BN4">
        <v>1000</v>
      </c>
      <c r="BP4" s="4">
        <v>14744.43</v>
      </c>
      <c r="BQ4">
        <v>10</v>
      </c>
      <c r="BR4">
        <v>20</v>
      </c>
      <c r="BS4">
        <v>100000001</v>
      </c>
      <c r="BT4" t="s">
        <v>90</v>
      </c>
    </row>
    <row r="5" spans="1:72" x14ac:dyDescent="0.35">
      <c r="A5" s="1">
        <v>45838</v>
      </c>
      <c r="B5" t="s">
        <v>72</v>
      </c>
      <c r="C5">
        <v>12</v>
      </c>
      <c r="D5">
        <v>100000001</v>
      </c>
      <c r="E5">
        <v>1</v>
      </c>
      <c r="F5">
        <v>1</v>
      </c>
      <c r="G5" t="s">
        <v>73</v>
      </c>
      <c r="H5" t="s">
        <v>74</v>
      </c>
      <c r="I5">
        <v>15</v>
      </c>
      <c r="J5">
        <v>163186</v>
      </c>
      <c r="K5">
        <v>49613820</v>
      </c>
      <c r="L5" t="s">
        <v>75</v>
      </c>
      <c r="M5">
        <v>1</v>
      </c>
      <c r="N5">
        <v>2</v>
      </c>
      <c r="O5">
        <v>1</v>
      </c>
      <c r="P5">
        <v>2</v>
      </c>
      <c r="Q5">
        <v>5</v>
      </c>
      <c r="R5">
        <v>0</v>
      </c>
      <c r="S5">
        <v>5</v>
      </c>
      <c r="T5" t="s">
        <v>76</v>
      </c>
      <c r="U5" t="s">
        <v>77</v>
      </c>
      <c r="V5" t="s">
        <v>95</v>
      </c>
      <c r="W5" t="s">
        <v>95</v>
      </c>
      <c r="X5" t="s">
        <v>79</v>
      </c>
      <c r="Y5" t="s">
        <v>80</v>
      </c>
      <c r="Z5" t="s">
        <v>80</v>
      </c>
      <c r="AA5" t="s">
        <v>80</v>
      </c>
      <c r="AB5" t="s">
        <v>80</v>
      </c>
      <c r="AC5" t="s">
        <v>80</v>
      </c>
      <c r="AD5" t="s">
        <v>73</v>
      </c>
      <c r="AE5" t="s">
        <v>73</v>
      </c>
      <c r="AF5" t="s">
        <v>81</v>
      </c>
      <c r="AG5" t="b">
        <v>0</v>
      </c>
      <c r="AH5" s="2" t="s">
        <v>80</v>
      </c>
      <c r="AI5" t="s">
        <v>80</v>
      </c>
      <c r="AJ5" t="s">
        <v>82</v>
      </c>
      <c r="AL5">
        <v>1</v>
      </c>
      <c r="AM5">
        <v>0.25</v>
      </c>
      <c r="AN5" t="s">
        <v>83</v>
      </c>
      <c r="AO5" t="s">
        <v>84</v>
      </c>
      <c r="AP5" t="s">
        <v>85</v>
      </c>
      <c r="AQ5" s="1">
        <v>1</v>
      </c>
      <c r="AS5" t="s">
        <v>87</v>
      </c>
      <c r="AT5" t="s">
        <v>87</v>
      </c>
      <c r="AV5" t="s">
        <v>87</v>
      </c>
      <c r="AW5" t="s">
        <v>87</v>
      </c>
      <c r="AX5" t="s">
        <v>87</v>
      </c>
      <c r="AY5" t="s">
        <v>88</v>
      </c>
      <c r="AZ5">
        <v>10</v>
      </c>
      <c r="BA5" cm="1">
        <f t="array" ref="BA5">_xlfn.IFS(AND(AB5 = "N", AA5 = "N", AF5 &lt;&gt; "Concentrated", AC5 = "N",H5="MARGIN_LOAN"), 10,
AND(AB5 = "N", AA5 = "N", AF5 &lt;&gt; "Concentrated", AC5 = "N",H5="SFT"), 5,
AND(AB5 = "N", AA5 = "N", AF5 &lt;&gt; "Concentrated", AC5 = "Y",H5="MARGIN_LOAN"), 20,
AND(AB5 = "N", AA5 = "N", AF5 &lt;&gt; "Concentrated", AC5 = "Y",H5="SFT"), 10,
AND(AB5 = "Y", AA5 = "N", AF5 &lt;&gt; "Concentrated", AC5 = "N"), 20,
AND(AB5 = "Y", AA5 = "N", AF5 &lt;&gt; "Concentrated", AC5 = "Y"), 40,
AND(AB5 = "N",  OR(AA5 = "Y", AF5 = "Concentrated"), AC5 = "N"), 20,
AND(AB5 = "N",  OR(AA5 = "Y", AF5 = "Concentrated"), AC5 = "Y"), 40,
AND(AB5 = "Y",  OR(AA5 = "Y", AF5 = "Concentrated"), AC5 = "N"), 20,
AND(AB5 = "Y",  OR(AA5 = "Y", AF5 = "Concentrated"), AC5 = "Y"), 40)</f>
        <v>20</v>
      </c>
      <c r="BB5">
        <f t="shared" si="0"/>
        <v>20</v>
      </c>
      <c r="BC5">
        <f t="shared" si="2"/>
        <v>10</v>
      </c>
      <c r="BD5">
        <f t="shared" si="1"/>
        <v>10</v>
      </c>
      <c r="BE5">
        <v>10</v>
      </c>
      <c r="BF5">
        <v>1</v>
      </c>
      <c r="BG5" t="str">
        <f t="shared" si="3"/>
        <v>SCENARIO</v>
      </c>
      <c r="BH5" t="s">
        <v>89</v>
      </c>
      <c r="BI5" t="b">
        <v>1</v>
      </c>
      <c r="BJ5">
        <v>1</v>
      </c>
      <c r="BK5">
        <v>1</v>
      </c>
      <c r="BM5" t="s">
        <v>87</v>
      </c>
      <c r="BN5">
        <v>7000</v>
      </c>
      <c r="BP5" s="4">
        <v>324680.8</v>
      </c>
      <c r="BQ5">
        <v>10</v>
      </c>
      <c r="BR5">
        <v>20</v>
      </c>
      <c r="BS5">
        <v>100000001</v>
      </c>
      <c r="BT5" t="s">
        <v>90</v>
      </c>
    </row>
    <row r="6" spans="1:72" x14ac:dyDescent="0.35">
      <c r="A6" s="1">
        <v>45838</v>
      </c>
      <c r="B6" t="s">
        <v>72</v>
      </c>
      <c r="C6">
        <v>12</v>
      </c>
      <c r="D6">
        <v>100000001</v>
      </c>
      <c r="E6">
        <v>1</v>
      </c>
      <c r="F6">
        <v>1</v>
      </c>
      <c r="G6" t="s">
        <v>73</v>
      </c>
      <c r="H6" t="s">
        <v>74</v>
      </c>
      <c r="I6">
        <v>15</v>
      </c>
      <c r="J6">
        <v>163186</v>
      </c>
      <c r="K6">
        <v>38275196</v>
      </c>
      <c r="L6" t="s">
        <v>75</v>
      </c>
      <c r="M6">
        <v>1</v>
      </c>
      <c r="N6">
        <v>2</v>
      </c>
      <c r="O6">
        <v>1</v>
      </c>
      <c r="P6">
        <v>2</v>
      </c>
      <c r="Q6">
        <v>5</v>
      </c>
      <c r="R6">
        <v>0</v>
      </c>
      <c r="S6">
        <v>5</v>
      </c>
      <c r="T6" t="s">
        <v>76</v>
      </c>
      <c r="U6" t="s">
        <v>77</v>
      </c>
      <c r="V6" t="s">
        <v>96</v>
      </c>
      <c r="W6" t="s">
        <v>96</v>
      </c>
      <c r="X6" t="s">
        <v>79</v>
      </c>
      <c r="Y6" t="s">
        <v>80</v>
      </c>
      <c r="Z6" t="s">
        <v>80</v>
      </c>
      <c r="AA6" t="s">
        <v>80</v>
      </c>
      <c r="AB6" t="s">
        <v>80</v>
      </c>
      <c r="AC6" t="s">
        <v>80</v>
      </c>
      <c r="AD6" t="s">
        <v>73</v>
      </c>
      <c r="AE6" t="s">
        <v>73</v>
      </c>
      <c r="AF6" t="s">
        <v>81</v>
      </c>
      <c r="AG6" t="b">
        <v>0</v>
      </c>
      <c r="AH6" t="s">
        <v>73</v>
      </c>
      <c r="AI6" t="s">
        <v>80</v>
      </c>
      <c r="AJ6" t="s">
        <v>82</v>
      </c>
      <c r="AL6">
        <v>1</v>
      </c>
      <c r="AM6">
        <v>0.15</v>
      </c>
      <c r="AN6" t="s">
        <v>83</v>
      </c>
      <c r="AO6" t="s">
        <v>84</v>
      </c>
      <c r="AP6" t="s">
        <v>85</v>
      </c>
      <c r="AQ6" s="1">
        <v>1</v>
      </c>
      <c r="AS6" t="s">
        <v>87</v>
      </c>
      <c r="AT6" t="s">
        <v>87</v>
      </c>
      <c r="AV6" t="s">
        <v>87</v>
      </c>
      <c r="AW6" t="s">
        <v>87</v>
      </c>
      <c r="AX6" t="s">
        <v>87</v>
      </c>
      <c r="AY6" t="s">
        <v>88</v>
      </c>
      <c r="AZ6">
        <v>10</v>
      </c>
      <c r="BA6" cm="1">
        <f t="array" ref="BA6">_xlfn.IFS(AND(AB6 = "N", AA6 = "N", AF6 &lt;&gt; "Concentrated", AC6 = "N",H6="MARGIN_LOAN"), 10,
AND(AB6 = "N", AA6 = "N", AF6 &lt;&gt; "Concentrated", AC6 = "N",H6="SFT"), 5,
AND(AB6 = "N", AA6 = "N", AF6 &lt;&gt; "Concentrated", AC6 = "Y",H6="MARGIN_LOAN"), 20,
AND(AB6 = "N", AA6 = "N", AF6 &lt;&gt; "Concentrated", AC6 = "Y",H6="SFT"), 10,
AND(AB6 = "Y", AA6 = "N", AF6 &lt;&gt; "Concentrated", AC6 = "N"), 20,
AND(AB6 = "Y", AA6 = "N", AF6 &lt;&gt; "Concentrated", AC6 = "Y"), 40,
AND(AB6 = "N",  OR(AA6 = "Y", AF6 = "Concentrated"), AC6 = "N"), 20,
AND(AB6 = "N",  OR(AA6 = "Y", AF6 = "Concentrated"), AC6 = "Y"), 40,
AND(AB6 = "Y",  OR(AA6 = "Y", AF6 = "Concentrated"), AC6 = "N"), 20,
AND(AB6 = "Y",  OR(AA6 = "Y", AF6 = "Concentrated"), AC6 = "Y"), 40)</f>
        <v>20</v>
      </c>
      <c r="BB6">
        <f t="shared" si="0"/>
        <v>20</v>
      </c>
      <c r="BC6">
        <f t="shared" si="2"/>
        <v>10</v>
      </c>
      <c r="BD6">
        <f t="shared" si="1"/>
        <v>10</v>
      </c>
      <c r="BE6">
        <v>10</v>
      </c>
      <c r="BF6">
        <v>1</v>
      </c>
      <c r="BG6" t="str">
        <f t="shared" si="3"/>
        <v>SCENARIO</v>
      </c>
      <c r="BH6" t="s">
        <v>89</v>
      </c>
      <c r="BI6" t="b">
        <v>1</v>
      </c>
      <c r="BJ6">
        <v>1</v>
      </c>
      <c r="BK6">
        <v>1</v>
      </c>
      <c r="BM6" t="s">
        <v>87</v>
      </c>
      <c r="BN6">
        <v>20000</v>
      </c>
      <c r="BP6" s="4">
        <v>4850034.55</v>
      </c>
      <c r="BQ6">
        <v>10</v>
      </c>
      <c r="BR6">
        <v>20</v>
      </c>
      <c r="BS6">
        <v>100000001</v>
      </c>
      <c r="BT6" t="s">
        <v>90</v>
      </c>
    </row>
    <row r="7" spans="1:72" x14ac:dyDescent="0.35">
      <c r="A7" s="1">
        <v>45838</v>
      </c>
      <c r="B7" t="s">
        <v>72</v>
      </c>
      <c r="C7">
        <v>12</v>
      </c>
      <c r="D7">
        <v>100000001</v>
      </c>
      <c r="E7">
        <v>1</v>
      </c>
      <c r="F7">
        <v>1</v>
      </c>
      <c r="G7" t="s">
        <v>73</v>
      </c>
      <c r="H7" t="s">
        <v>74</v>
      </c>
      <c r="I7">
        <v>1</v>
      </c>
      <c r="J7">
        <v>163186</v>
      </c>
      <c r="K7">
        <v>91534082</v>
      </c>
      <c r="L7" t="s">
        <v>75</v>
      </c>
      <c r="M7">
        <v>1</v>
      </c>
      <c r="N7">
        <v>2</v>
      </c>
      <c r="O7">
        <v>1</v>
      </c>
      <c r="P7">
        <v>2</v>
      </c>
      <c r="Q7">
        <v>0</v>
      </c>
      <c r="R7">
        <v>0</v>
      </c>
      <c r="S7">
        <v>0</v>
      </c>
      <c r="U7" t="s">
        <v>77</v>
      </c>
      <c r="V7" t="s">
        <v>97</v>
      </c>
      <c r="W7" t="s">
        <v>97</v>
      </c>
      <c r="X7" t="s">
        <v>79</v>
      </c>
      <c r="Y7" t="s">
        <v>80</v>
      </c>
      <c r="Z7" t="s">
        <v>73</v>
      </c>
      <c r="AA7" t="s">
        <v>80</v>
      </c>
      <c r="AB7" t="s">
        <v>80</v>
      </c>
      <c r="AC7" t="s">
        <v>80</v>
      </c>
      <c r="AD7" t="s">
        <v>73</v>
      </c>
      <c r="AE7" t="s">
        <v>73</v>
      </c>
      <c r="AF7" t="s">
        <v>81</v>
      </c>
      <c r="AG7" t="b">
        <v>0</v>
      </c>
      <c r="AH7" t="s">
        <v>80</v>
      </c>
      <c r="AI7" t="s">
        <v>80</v>
      </c>
      <c r="AJ7" t="s">
        <v>82</v>
      </c>
      <c r="AL7">
        <v>1</v>
      </c>
      <c r="AM7">
        <v>1</v>
      </c>
      <c r="AN7" t="s">
        <v>98</v>
      </c>
      <c r="AO7" t="s">
        <v>99</v>
      </c>
      <c r="AP7" t="s">
        <v>85</v>
      </c>
      <c r="AQ7" s="1">
        <v>1</v>
      </c>
      <c r="AU7" t="s">
        <v>87</v>
      </c>
      <c r="AV7" t="s">
        <v>87</v>
      </c>
      <c r="AW7" t="s">
        <v>87</v>
      </c>
      <c r="AX7" t="s">
        <v>87</v>
      </c>
      <c r="AY7" t="s">
        <v>88</v>
      </c>
      <c r="AZ7">
        <v>10</v>
      </c>
      <c r="BA7" cm="1">
        <f t="array" ref="BA7">_xlfn.IFS(AND(AB7 = "N", AA7 = "N", AF7 &lt;&gt; "Concentrated", AC7 = "N",H7="MARGIN_LOAN"), 10,
AND(AB7 = "N", AA7 = "N", AF7 &lt;&gt; "Concentrated", AC7 = "N",H7="SFT"), 5,
AND(AB7 = "N", AA7 = "N", AF7 &lt;&gt; "Concentrated", AC7 = "Y",H7="MARGIN_LOAN"), 20,
AND(AB7 = "N", AA7 = "N", AF7 &lt;&gt; "Concentrated", AC7 = "Y",H7="SFT"), 10,
AND(AB7 = "Y", AA7 = "N", AF7 &lt;&gt; "Concentrated", AC7 = "N"), 20,
AND(AB7 = "Y", AA7 = "N", AF7 &lt;&gt; "Concentrated", AC7 = "Y"), 40,
AND(AB7 = "N",  OR(AA7 = "Y", AF7 = "Concentrated"), AC7 = "N"), 20,
AND(AB7 = "N",  OR(AA7 = "Y", AF7 = "Concentrated"), AC7 = "Y"), 40,
AND(AB7 = "Y",  OR(AA7 = "Y", AF7 = "Concentrated"), AC7 = "N"), 20,
AND(AB7 = "Y",  OR(AA7 = "Y", AF7 = "Concentrated"), AC7 = "Y"), 40)</f>
        <v>20</v>
      </c>
      <c r="BB7">
        <f t="shared" si="0"/>
        <v>20</v>
      </c>
      <c r="BC7">
        <f t="shared" si="2"/>
        <v>10</v>
      </c>
      <c r="BD7">
        <f t="shared" si="1"/>
        <v>10</v>
      </c>
      <c r="BE7">
        <v>10</v>
      </c>
      <c r="BF7">
        <v>1</v>
      </c>
      <c r="BG7" t="str">
        <f t="shared" si="3"/>
        <v>SCENARIO</v>
      </c>
      <c r="BH7" t="s">
        <v>89</v>
      </c>
      <c r="BI7" t="b">
        <v>1</v>
      </c>
      <c r="BJ7">
        <v>0</v>
      </c>
      <c r="BK7">
        <v>0</v>
      </c>
      <c r="BL7" t="s">
        <v>87</v>
      </c>
      <c r="BM7" t="s">
        <v>87</v>
      </c>
      <c r="BO7">
        <v>18031632.199999999</v>
      </c>
      <c r="BP7" s="4"/>
      <c r="BQ7">
        <v>0</v>
      </c>
      <c r="BR7">
        <v>0</v>
      </c>
      <c r="BS7">
        <v>100000001</v>
      </c>
      <c r="BT7" t="s">
        <v>90</v>
      </c>
    </row>
    <row r="8" spans="1:72" x14ac:dyDescent="0.35">
      <c r="A8" s="1">
        <v>45838</v>
      </c>
      <c r="B8" t="s">
        <v>72</v>
      </c>
      <c r="C8">
        <v>12</v>
      </c>
      <c r="D8">
        <v>100000001</v>
      </c>
      <c r="E8">
        <v>2</v>
      </c>
      <c r="F8">
        <v>2</v>
      </c>
      <c r="G8" t="s">
        <v>73</v>
      </c>
      <c r="H8" t="s">
        <v>74</v>
      </c>
      <c r="I8">
        <v>15</v>
      </c>
      <c r="J8">
        <v>163186</v>
      </c>
      <c r="K8">
        <v>27195684</v>
      </c>
      <c r="L8" t="s">
        <v>75</v>
      </c>
      <c r="M8">
        <v>2</v>
      </c>
      <c r="N8">
        <v>1</v>
      </c>
      <c r="O8">
        <v>1</v>
      </c>
      <c r="P8">
        <v>2</v>
      </c>
      <c r="Q8">
        <v>5</v>
      </c>
      <c r="R8">
        <v>0</v>
      </c>
      <c r="S8">
        <v>5</v>
      </c>
      <c r="T8" t="s">
        <v>76</v>
      </c>
      <c r="U8" t="s">
        <v>77</v>
      </c>
      <c r="V8" t="s">
        <v>100</v>
      </c>
      <c r="W8" t="s">
        <v>100</v>
      </c>
      <c r="X8" t="s">
        <v>79</v>
      </c>
      <c r="Y8" t="s">
        <v>80</v>
      </c>
      <c r="Z8" t="s">
        <v>73</v>
      </c>
      <c r="AA8" t="s">
        <v>80</v>
      </c>
      <c r="AB8" t="s">
        <v>80</v>
      </c>
      <c r="AC8" t="s">
        <v>80</v>
      </c>
      <c r="AD8" t="s">
        <v>73</v>
      </c>
      <c r="AE8" t="s">
        <v>73</v>
      </c>
      <c r="AF8" t="s">
        <v>81</v>
      </c>
      <c r="AG8" t="b">
        <v>0</v>
      </c>
      <c r="AH8" t="s">
        <v>73</v>
      </c>
      <c r="AI8" t="s">
        <v>80</v>
      </c>
      <c r="AJ8" t="s">
        <v>82</v>
      </c>
      <c r="AL8">
        <v>1</v>
      </c>
      <c r="AM8">
        <v>0.25</v>
      </c>
      <c r="AN8" t="s">
        <v>83</v>
      </c>
      <c r="AO8" t="s">
        <v>84</v>
      </c>
      <c r="AP8" t="s">
        <v>85</v>
      </c>
      <c r="AQ8" s="1">
        <v>1</v>
      </c>
      <c r="AS8" t="s">
        <v>87</v>
      </c>
      <c r="AT8" t="s">
        <v>87</v>
      </c>
      <c r="AV8" t="s">
        <v>87</v>
      </c>
      <c r="AW8" t="s">
        <v>87</v>
      </c>
      <c r="AY8" t="s">
        <v>88</v>
      </c>
      <c r="AZ8">
        <v>10</v>
      </c>
      <c r="BA8" cm="1">
        <f t="array" ref="BA8">_xlfn.IFS(AND(AB8 = "N", AA8 = "N", AF8 &lt;&gt; "Concentrated", AC8 = "N",H8="MARGIN_LOAN"), 10,
AND(AB8 = "N", AA8 = "N", AF8 &lt;&gt; "Concentrated", AC8 = "N",H8="SFT"), 5,
AND(AB8 = "N", AA8 = "N", AF8 &lt;&gt; "Concentrated", AC8 = "Y",H8="MARGIN_LOAN"), 20,
AND(AB8 = "N", AA8 = "N", AF8 &lt;&gt; "Concentrated", AC8 = "Y",H8="SFT"), 10,
AND(AB8 = "Y", AA8 = "N", AF8 &lt;&gt; "Concentrated", AC8 = "N"), 20,
AND(AB8 = "Y", AA8 = "N", AF8 &lt;&gt; "Concentrated", AC8 = "Y"), 40,
AND(AB8 = "N",  OR(AA8 = "Y", AF8 = "Concentrated"), AC8 = "N"), 20,
AND(AB8 = "N",  OR(AA8 = "Y", AF8 = "Concentrated"), AC8 = "Y"), 40,
AND(AB8 = "Y",  OR(AA8 = "Y", AF8 = "Concentrated"), AC8 = "N"), 20,
AND(AB8 = "Y",  OR(AA8 = "Y", AF8 = "Concentrated"), AC8 = "Y"), 40)</f>
        <v>20</v>
      </c>
      <c r="BB8">
        <f t="shared" si="0"/>
        <v>20</v>
      </c>
      <c r="BC8">
        <f t="shared" si="2"/>
        <v>10</v>
      </c>
      <c r="BD8">
        <f t="shared" si="1"/>
        <v>10</v>
      </c>
      <c r="BE8">
        <v>10</v>
      </c>
      <c r="BF8">
        <v>1</v>
      </c>
      <c r="BG8" t="str">
        <f t="shared" si="3"/>
        <v>SCENARIO</v>
      </c>
      <c r="BH8" t="s">
        <v>89</v>
      </c>
      <c r="BI8" t="b">
        <v>1</v>
      </c>
      <c r="BJ8">
        <v>1</v>
      </c>
      <c r="BK8">
        <v>1</v>
      </c>
      <c r="BM8" t="s">
        <v>87</v>
      </c>
      <c r="BN8">
        <v>50000</v>
      </c>
      <c r="BP8" s="4">
        <v>12396987.9</v>
      </c>
      <c r="BQ8">
        <v>10</v>
      </c>
      <c r="BR8">
        <v>20</v>
      </c>
      <c r="BS8">
        <v>100000002</v>
      </c>
      <c r="BT8" t="s">
        <v>101</v>
      </c>
    </row>
    <row r="9" spans="1:72" x14ac:dyDescent="0.35">
      <c r="A9" s="1">
        <v>45838</v>
      </c>
      <c r="B9" t="s">
        <v>72</v>
      </c>
      <c r="C9">
        <v>12</v>
      </c>
      <c r="D9">
        <v>100000001</v>
      </c>
      <c r="E9">
        <v>2</v>
      </c>
      <c r="F9">
        <v>2</v>
      </c>
      <c r="G9" t="s">
        <v>73</v>
      </c>
      <c r="H9" t="s">
        <v>74</v>
      </c>
      <c r="I9">
        <v>15</v>
      </c>
      <c r="J9">
        <v>163186</v>
      </c>
      <c r="K9">
        <v>60317825</v>
      </c>
      <c r="L9" t="s">
        <v>75</v>
      </c>
      <c r="M9">
        <v>2</v>
      </c>
      <c r="N9">
        <v>1</v>
      </c>
      <c r="O9">
        <v>1</v>
      </c>
      <c r="P9">
        <v>2</v>
      </c>
      <c r="Q9">
        <v>5</v>
      </c>
      <c r="R9">
        <v>0</v>
      </c>
      <c r="S9">
        <v>5</v>
      </c>
      <c r="T9" t="s">
        <v>76</v>
      </c>
      <c r="U9" t="s">
        <v>77</v>
      </c>
      <c r="V9" t="s">
        <v>102</v>
      </c>
      <c r="W9" t="s">
        <v>102</v>
      </c>
      <c r="X9" t="s">
        <v>79</v>
      </c>
      <c r="Y9" t="s">
        <v>80</v>
      </c>
      <c r="Z9" t="s">
        <v>73</v>
      </c>
      <c r="AA9" t="s">
        <v>80</v>
      </c>
      <c r="AB9" t="s">
        <v>80</v>
      </c>
      <c r="AC9" t="s">
        <v>80</v>
      </c>
      <c r="AD9" t="s">
        <v>73</v>
      </c>
      <c r="AE9" t="s">
        <v>73</v>
      </c>
      <c r="AF9" t="s">
        <v>81</v>
      </c>
      <c r="AG9" t="b">
        <v>0</v>
      </c>
      <c r="AH9" t="s">
        <v>73</v>
      </c>
      <c r="AI9" t="s">
        <v>80</v>
      </c>
      <c r="AJ9" t="s">
        <v>82</v>
      </c>
      <c r="AL9">
        <v>1</v>
      </c>
      <c r="AM9">
        <v>0.15</v>
      </c>
      <c r="AN9" t="s">
        <v>83</v>
      </c>
      <c r="AO9" t="s">
        <v>84</v>
      </c>
      <c r="AP9" t="s">
        <v>85</v>
      </c>
      <c r="AQ9" s="1">
        <v>1</v>
      </c>
      <c r="AS9" t="s">
        <v>87</v>
      </c>
      <c r="AT9" t="s">
        <v>87</v>
      </c>
      <c r="AV9" t="s">
        <v>87</v>
      </c>
      <c r="AW9" t="s">
        <v>87</v>
      </c>
      <c r="AY9" t="s">
        <v>88</v>
      </c>
      <c r="AZ9">
        <v>10</v>
      </c>
      <c r="BA9" cm="1">
        <f t="array" ref="BA9">_xlfn.IFS(AND(AB9 = "N", AA9 = "N", AF9 &lt;&gt; "Concentrated", AC9 = "N",H9="MARGIN_LOAN"), 10,
AND(AB9 = "N", AA9 = "N", AF9 &lt;&gt; "Concentrated", AC9 = "N",H9="SFT"), 5,
AND(AB9 = "N", AA9 = "N", AF9 &lt;&gt; "Concentrated", AC9 = "Y",H9="MARGIN_LOAN"), 20,
AND(AB9 = "N", AA9 = "N", AF9 &lt;&gt; "Concentrated", AC9 = "Y",H9="SFT"), 10,
AND(AB9 = "Y", AA9 = "N", AF9 &lt;&gt; "Concentrated", AC9 = "N"), 20,
AND(AB9 = "Y", AA9 = "N", AF9 &lt;&gt; "Concentrated", AC9 = "Y"), 40,
AND(AB9 = "N",  OR(AA9 = "Y", AF9 = "Concentrated"), AC9 = "N"), 20,
AND(AB9 = "N",  OR(AA9 = "Y", AF9 = "Concentrated"), AC9 = "Y"), 40,
AND(AB9 = "Y",  OR(AA9 = "Y", AF9 = "Concentrated"), AC9 = "N"), 20,
AND(AB9 = "Y",  OR(AA9 = "Y", AF9 = "Concentrated"), AC9 = "Y"), 40)</f>
        <v>20</v>
      </c>
      <c r="BB9">
        <f t="shared" si="0"/>
        <v>20</v>
      </c>
      <c r="BC9">
        <f t="shared" si="2"/>
        <v>10</v>
      </c>
      <c r="BD9">
        <f t="shared" si="1"/>
        <v>10</v>
      </c>
      <c r="BE9">
        <v>10</v>
      </c>
      <c r="BF9">
        <v>1</v>
      </c>
      <c r="BG9" t="str">
        <f t="shared" si="3"/>
        <v>SCENARIO</v>
      </c>
      <c r="BH9" t="s">
        <v>89</v>
      </c>
      <c r="BI9" t="b">
        <v>1</v>
      </c>
      <c r="BJ9">
        <v>1</v>
      </c>
      <c r="BK9">
        <v>1</v>
      </c>
      <c r="BM9" t="s">
        <v>87</v>
      </c>
      <c r="BN9">
        <v>119912</v>
      </c>
      <c r="BP9" s="4">
        <v>11103288</v>
      </c>
      <c r="BQ9">
        <v>10</v>
      </c>
      <c r="BR9">
        <v>20</v>
      </c>
      <c r="BS9">
        <v>100000002</v>
      </c>
      <c r="BT9" t="s">
        <v>101</v>
      </c>
    </row>
    <row r="10" spans="1:72" x14ac:dyDescent="0.35">
      <c r="A10" s="1">
        <v>45838</v>
      </c>
      <c r="B10" t="s">
        <v>72</v>
      </c>
      <c r="C10">
        <v>12</v>
      </c>
      <c r="D10">
        <v>100000001</v>
      </c>
      <c r="E10">
        <v>2</v>
      </c>
      <c r="F10">
        <v>2</v>
      </c>
      <c r="G10" t="s">
        <v>73</v>
      </c>
      <c r="H10" t="s">
        <v>74</v>
      </c>
      <c r="I10">
        <v>15</v>
      </c>
      <c r="J10">
        <v>163186</v>
      </c>
      <c r="K10">
        <v>84051763</v>
      </c>
      <c r="L10" t="s">
        <v>75</v>
      </c>
      <c r="M10">
        <v>2</v>
      </c>
      <c r="N10">
        <v>1</v>
      </c>
      <c r="O10">
        <v>1</v>
      </c>
      <c r="P10">
        <v>2</v>
      </c>
      <c r="Q10">
        <v>5</v>
      </c>
      <c r="R10">
        <v>0</v>
      </c>
      <c r="S10">
        <v>5</v>
      </c>
      <c r="T10" t="s">
        <v>76</v>
      </c>
      <c r="U10" t="s">
        <v>77</v>
      </c>
      <c r="V10" t="s">
        <v>103</v>
      </c>
      <c r="W10" t="s">
        <v>103</v>
      </c>
      <c r="X10" t="s">
        <v>79</v>
      </c>
      <c r="Y10" t="s">
        <v>80</v>
      </c>
      <c r="Z10" t="s">
        <v>73</v>
      </c>
      <c r="AA10" t="s">
        <v>80</v>
      </c>
      <c r="AB10" t="s">
        <v>80</v>
      </c>
      <c r="AC10" t="s">
        <v>80</v>
      </c>
      <c r="AD10" t="s">
        <v>73</v>
      </c>
      <c r="AE10" t="s">
        <v>73</v>
      </c>
      <c r="AF10" t="s">
        <v>81</v>
      </c>
      <c r="AG10" t="b">
        <v>0</v>
      </c>
      <c r="AH10" t="s">
        <v>73</v>
      </c>
      <c r="AI10" t="s">
        <v>80</v>
      </c>
      <c r="AJ10" t="s">
        <v>82</v>
      </c>
      <c r="AK10" t="s">
        <v>93</v>
      </c>
      <c r="AL10">
        <v>1</v>
      </c>
      <c r="AM10">
        <v>0.15</v>
      </c>
      <c r="AN10" t="s">
        <v>83</v>
      </c>
      <c r="AO10" t="s">
        <v>84</v>
      </c>
      <c r="AP10" t="s">
        <v>85</v>
      </c>
      <c r="AQ10" s="1">
        <v>1</v>
      </c>
      <c r="AS10" t="s">
        <v>87</v>
      </c>
      <c r="AT10" t="s">
        <v>87</v>
      </c>
      <c r="AV10" t="s">
        <v>87</v>
      </c>
      <c r="AW10" t="s">
        <v>87</v>
      </c>
      <c r="AY10" t="s">
        <v>94</v>
      </c>
      <c r="AZ10">
        <v>10</v>
      </c>
      <c r="BA10" cm="1">
        <f t="array" ref="BA10">_xlfn.IFS(AND(AB10 = "N", AA10 = "N", AF10 &lt;&gt; "Concentrated", AC10 = "N",H10="MARGIN_LOAN"), 10,
AND(AB10 = "N", AA10 = "N", AF10 &lt;&gt; "Concentrated", AC10 = "N",H10="SFT"), 5,
AND(AB10 = "N", AA10 = "N", AF10 &lt;&gt; "Concentrated", AC10 = "Y",H10="MARGIN_LOAN"), 20,
AND(AB10 = "N", AA10 = "N", AF10 &lt;&gt; "Concentrated", AC10 = "Y",H10="SFT"), 10,
AND(AB10 = "Y", AA10 = "N", AF10 &lt;&gt; "Concentrated", AC10 = "N"), 20,
AND(AB10 = "Y", AA10 = "N", AF10 &lt;&gt; "Concentrated", AC10 = "Y"), 40,
AND(AB10 = "N",  OR(AA10 = "Y", AF10 = "Concentrated"), AC10 = "N"), 20,
AND(AB10 = "N",  OR(AA10 = "Y", AF10 = "Concentrated"), AC10 = "Y"), 40,
AND(AB10 = "Y",  OR(AA10 = "Y", AF10 = "Concentrated"), AC10 = "N"), 20,
AND(AB10 = "Y",  OR(AA10 = "Y", AF10 = "Concentrated"), AC10 = "Y"), 40)</f>
        <v>20</v>
      </c>
      <c r="BB10">
        <f t="shared" si="0"/>
        <v>20</v>
      </c>
      <c r="BC10">
        <f t="shared" si="2"/>
        <v>10</v>
      </c>
      <c r="BD10">
        <f t="shared" si="1"/>
        <v>10</v>
      </c>
      <c r="BE10">
        <v>10</v>
      </c>
      <c r="BF10">
        <v>1</v>
      </c>
      <c r="BG10" t="str">
        <f t="shared" si="3"/>
        <v>SCENARIO</v>
      </c>
      <c r="BH10" t="s">
        <v>89</v>
      </c>
      <c r="BI10" t="b">
        <v>1</v>
      </c>
      <c r="BJ10">
        <v>1</v>
      </c>
      <c r="BK10">
        <v>1</v>
      </c>
      <c r="BL10" t="s">
        <v>87</v>
      </c>
      <c r="BN10">
        <v>129819</v>
      </c>
      <c r="BP10" s="4">
        <v>15094847.359999999</v>
      </c>
      <c r="BQ10">
        <v>10</v>
      </c>
      <c r="BR10">
        <v>20</v>
      </c>
      <c r="BS10">
        <v>100000002</v>
      </c>
      <c r="BT10" t="s">
        <v>101</v>
      </c>
    </row>
    <row r="11" spans="1:72" x14ac:dyDescent="0.35">
      <c r="A11" s="1">
        <v>45838</v>
      </c>
      <c r="B11" t="s">
        <v>72</v>
      </c>
      <c r="C11">
        <v>12</v>
      </c>
      <c r="D11">
        <v>100000001</v>
      </c>
      <c r="E11">
        <v>2</v>
      </c>
      <c r="F11">
        <v>2</v>
      </c>
      <c r="G11" t="s">
        <v>73</v>
      </c>
      <c r="H11" t="s">
        <v>74</v>
      </c>
      <c r="I11">
        <v>15</v>
      </c>
      <c r="J11">
        <v>163186</v>
      </c>
      <c r="K11">
        <v>35946217</v>
      </c>
      <c r="L11" t="s">
        <v>75</v>
      </c>
      <c r="M11">
        <v>2</v>
      </c>
      <c r="N11">
        <v>1</v>
      </c>
      <c r="O11">
        <v>1</v>
      </c>
      <c r="P11">
        <v>2</v>
      </c>
      <c r="Q11">
        <v>5</v>
      </c>
      <c r="R11">
        <v>0</v>
      </c>
      <c r="S11">
        <v>5</v>
      </c>
      <c r="T11" t="s">
        <v>76</v>
      </c>
      <c r="U11" t="s">
        <v>77</v>
      </c>
      <c r="V11" t="s">
        <v>104</v>
      </c>
      <c r="W11" t="s">
        <v>104</v>
      </c>
      <c r="X11" t="s">
        <v>79</v>
      </c>
      <c r="Y11" t="s">
        <v>80</v>
      </c>
      <c r="Z11" t="s">
        <v>73</v>
      </c>
      <c r="AA11" t="s">
        <v>80</v>
      </c>
      <c r="AB11" t="s">
        <v>80</v>
      </c>
      <c r="AC11" t="s">
        <v>80</v>
      </c>
      <c r="AD11" t="s">
        <v>73</v>
      </c>
      <c r="AE11" t="s">
        <v>73</v>
      </c>
      <c r="AF11" t="s">
        <v>81</v>
      </c>
      <c r="AG11" t="b">
        <v>0</v>
      </c>
      <c r="AH11" t="s">
        <v>73</v>
      </c>
      <c r="AI11" t="s">
        <v>80</v>
      </c>
      <c r="AJ11" t="s">
        <v>82</v>
      </c>
      <c r="AL11">
        <v>1</v>
      </c>
      <c r="AM11">
        <v>0.25</v>
      </c>
      <c r="AN11" t="s">
        <v>83</v>
      </c>
      <c r="AO11" t="s">
        <v>84</v>
      </c>
      <c r="AP11" t="s">
        <v>85</v>
      </c>
      <c r="AQ11" s="1">
        <v>1</v>
      </c>
      <c r="AS11" t="s">
        <v>87</v>
      </c>
      <c r="AT11" t="s">
        <v>87</v>
      </c>
      <c r="AV11" t="s">
        <v>87</v>
      </c>
      <c r="AW11" t="s">
        <v>87</v>
      </c>
      <c r="AY11" t="s">
        <v>94</v>
      </c>
      <c r="AZ11">
        <v>10</v>
      </c>
      <c r="BA11" cm="1">
        <f t="array" ref="BA11">_xlfn.IFS(AND(AB11 = "N", AA11 = "N", AF11 &lt;&gt; "Concentrated", AC11 = "N",H11="MARGIN_LOAN"), 10,
AND(AB11 = "N", AA11 = "N", AF11 &lt;&gt; "Concentrated", AC11 = "N",H11="SFT"), 5,
AND(AB11 = "N", AA11 = "N", AF11 &lt;&gt; "Concentrated", AC11 = "Y",H11="MARGIN_LOAN"), 20,
AND(AB11 = "N", AA11 = "N", AF11 &lt;&gt; "Concentrated", AC11 = "Y",H11="SFT"), 10,
AND(AB11 = "Y", AA11 = "N", AF11 &lt;&gt; "Concentrated", AC11 = "N"), 20,
AND(AB11 = "Y", AA11 = "N", AF11 &lt;&gt; "Concentrated", AC11 = "Y"), 40,
AND(AB11 = "N",  OR(AA11 = "Y", AF11 = "Concentrated"), AC11 = "N"), 20,
AND(AB11 = "N",  OR(AA11 = "Y", AF11 = "Concentrated"), AC11 = "Y"), 40,
AND(AB11 = "Y",  OR(AA11 = "Y", AF11 = "Concentrated"), AC11 = "N"), 20,
AND(AB11 = "Y",  OR(AA11 = "Y", AF11 = "Concentrated"), AC11 = "Y"), 40)</f>
        <v>20</v>
      </c>
      <c r="BB11">
        <f t="shared" si="0"/>
        <v>20</v>
      </c>
      <c r="BC11">
        <f t="shared" si="2"/>
        <v>10</v>
      </c>
      <c r="BD11">
        <f t="shared" si="1"/>
        <v>10</v>
      </c>
      <c r="BE11">
        <v>10</v>
      </c>
      <c r="BF11">
        <v>1</v>
      </c>
      <c r="BG11" t="str">
        <f t="shared" si="3"/>
        <v>SCENARIO</v>
      </c>
      <c r="BH11" t="s">
        <v>89</v>
      </c>
      <c r="BI11" t="b">
        <v>1</v>
      </c>
      <c r="BJ11">
        <v>1</v>
      </c>
      <c r="BK11">
        <v>1</v>
      </c>
      <c r="BL11" t="s">
        <v>87</v>
      </c>
      <c r="BN11">
        <v>21124</v>
      </c>
      <c r="BP11" s="4">
        <v>5849007.2999999998</v>
      </c>
      <c r="BQ11">
        <v>10</v>
      </c>
      <c r="BR11">
        <v>20</v>
      </c>
      <c r="BS11">
        <v>100000002</v>
      </c>
      <c r="BT11" t="s">
        <v>101</v>
      </c>
    </row>
    <row r="12" spans="1:72" x14ac:dyDescent="0.35">
      <c r="A12" s="1">
        <v>45838</v>
      </c>
      <c r="B12" t="s">
        <v>72</v>
      </c>
      <c r="C12">
        <v>12</v>
      </c>
      <c r="D12">
        <v>100000001</v>
      </c>
      <c r="E12">
        <v>2</v>
      </c>
      <c r="F12">
        <v>2</v>
      </c>
      <c r="G12" t="s">
        <v>73</v>
      </c>
      <c r="H12" t="s">
        <v>74</v>
      </c>
      <c r="I12">
        <v>15</v>
      </c>
      <c r="J12">
        <v>163186</v>
      </c>
      <c r="K12">
        <v>74268109</v>
      </c>
      <c r="L12" t="s">
        <v>75</v>
      </c>
      <c r="M12">
        <v>2</v>
      </c>
      <c r="N12">
        <v>1</v>
      </c>
      <c r="O12">
        <v>1</v>
      </c>
      <c r="P12">
        <v>2</v>
      </c>
      <c r="Q12">
        <v>5</v>
      </c>
      <c r="R12">
        <v>0</v>
      </c>
      <c r="S12">
        <v>5</v>
      </c>
      <c r="U12" t="s">
        <v>77</v>
      </c>
      <c r="V12" t="s">
        <v>105</v>
      </c>
      <c r="W12" t="s">
        <v>105</v>
      </c>
      <c r="X12" t="s">
        <v>79</v>
      </c>
      <c r="Y12" t="s">
        <v>80</v>
      </c>
      <c r="Z12" t="s">
        <v>73</v>
      </c>
      <c r="AA12" t="s">
        <v>80</v>
      </c>
      <c r="AB12" t="s">
        <v>80</v>
      </c>
      <c r="AC12" t="s">
        <v>80</v>
      </c>
      <c r="AD12" t="s">
        <v>73</v>
      </c>
      <c r="AE12" t="s">
        <v>73</v>
      </c>
      <c r="AF12" t="s">
        <v>81</v>
      </c>
      <c r="AG12" t="b">
        <v>0</v>
      </c>
      <c r="AH12" s="2" t="s">
        <v>73</v>
      </c>
      <c r="AI12" t="s">
        <v>80</v>
      </c>
      <c r="AJ12" t="s">
        <v>82</v>
      </c>
      <c r="AL12">
        <v>1</v>
      </c>
      <c r="AM12">
        <v>0.25</v>
      </c>
      <c r="AN12" t="s">
        <v>83</v>
      </c>
      <c r="AO12" t="s">
        <v>84</v>
      </c>
      <c r="AP12" t="s">
        <v>85</v>
      </c>
      <c r="AQ12" s="1">
        <v>1</v>
      </c>
      <c r="AS12" t="s">
        <v>87</v>
      </c>
      <c r="AT12" t="s">
        <v>87</v>
      </c>
      <c r="AV12" t="s">
        <v>87</v>
      </c>
      <c r="AW12" t="s">
        <v>87</v>
      </c>
      <c r="AY12" t="s">
        <v>88</v>
      </c>
      <c r="AZ12">
        <v>10</v>
      </c>
      <c r="BA12" cm="1">
        <f t="array" ref="BA12">_xlfn.IFS(AND(AB12 = "N", AA12 = "N", AF12 &lt;&gt; "Concentrated", AC12 = "N",H12="MARGIN_LOAN"), 10,
AND(AB12 = "N", AA12 = "N", AF12 &lt;&gt; "Concentrated", AC12 = "N",H12="SFT"), 5,
AND(AB12 = "N", AA12 = "N", AF12 &lt;&gt; "Concentrated", AC12 = "Y",H12="MARGIN_LOAN"), 20,
AND(AB12 = "N", AA12 = "N", AF12 &lt;&gt; "Concentrated", AC12 = "Y",H12="SFT"), 10,
AND(AB12 = "Y", AA12 = "N", AF12 &lt;&gt; "Concentrated", AC12 = "N"), 20,
AND(AB12 = "Y", AA12 = "N", AF12 &lt;&gt; "Concentrated", AC12 = "Y"), 40,
AND(AB12 = "N",  OR(AA12 = "Y", AF12 = "Concentrated"), AC12 = "N"), 20,
AND(AB12 = "N",  OR(AA12 = "Y", AF12 = "Concentrated"), AC12 = "Y"), 40,
AND(AB12 = "Y",  OR(AA12 = "Y", AF12 = "Concentrated"), AC12 = "N"), 20,
AND(AB12 = "Y",  OR(AA12 = "Y", AF12 = "Concentrated"), AC12 = "Y"), 40)</f>
        <v>20</v>
      </c>
      <c r="BB12">
        <f t="shared" si="0"/>
        <v>20</v>
      </c>
      <c r="BC12">
        <f t="shared" si="2"/>
        <v>10</v>
      </c>
      <c r="BD12">
        <f t="shared" si="1"/>
        <v>10</v>
      </c>
      <c r="BE12">
        <v>10</v>
      </c>
      <c r="BF12">
        <v>1</v>
      </c>
      <c r="BG12" t="str">
        <f t="shared" si="3"/>
        <v>SCENARIO</v>
      </c>
      <c r="BH12" t="s">
        <v>89</v>
      </c>
      <c r="BI12" t="b">
        <v>1</v>
      </c>
      <c r="BJ12">
        <v>1</v>
      </c>
      <c r="BK12">
        <v>1</v>
      </c>
      <c r="BM12" t="s">
        <v>87</v>
      </c>
      <c r="BN12">
        <v>15332</v>
      </c>
      <c r="BP12" s="4">
        <v>791811000.29999995</v>
      </c>
      <c r="BQ12">
        <v>0</v>
      </c>
      <c r="BR12">
        <v>0</v>
      </c>
      <c r="BS12">
        <v>100000002</v>
      </c>
      <c r="BT12" t="s">
        <v>101</v>
      </c>
    </row>
    <row r="13" spans="1:72" x14ac:dyDescent="0.35">
      <c r="A13" s="1">
        <v>45838</v>
      </c>
      <c r="B13" t="s">
        <v>72</v>
      </c>
      <c r="C13">
        <v>12</v>
      </c>
      <c r="D13">
        <v>100000001</v>
      </c>
      <c r="E13">
        <v>2</v>
      </c>
      <c r="F13">
        <v>2</v>
      </c>
      <c r="G13" t="s">
        <v>73</v>
      </c>
      <c r="H13" t="s">
        <v>74</v>
      </c>
      <c r="I13">
        <v>15</v>
      </c>
      <c r="J13">
        <v>163186</v>
      </c>
      <c r="K13">
        <v>10835642</v>
      </c>
      <c r="L13" t="s">
        <v>75</v>
      </c>
      <c r="M13">
        <v>2</v>
      </c>
      <c r="N13">
        <v>1</v>
      </c>
      <c r="O13">
        <v>1</v>
      </c>
      <c r="P13">
        <v>2</v>
      </c>
      <c r="Q13">
        <v>5</v>
      </c>
      <c r="R13">
        <v>0</v>
      </c>
      <c r="S13">
        <v>5</v>
      </c>
      <c r="T13" t="s">
        <v>76</v>
      </c>
      <c r="U13" t="s">
        <v>77</v>
      </c>
      <c r="V13" t="s">
        <v>106</v>
      </c>
      <c r="W13" t="s">
        <v>106</v>
      </c>
      <c r="X13" t="s">
        <v>79</v>
      </c>
      <c r="Y13" t="s">
        <v>80</v>
      </c>
      <c r="Z13" t="s">
        <v>73</v>
      </c>
      <c r="AA13" t="s">
        <v>80</v>
      </c>
      <c r="AB13" t="s">
        <v>80</v>
      </c>
      <c r="AC13" t="s">
        <v>80</v>
      </c>
      <c r="AD13" t="s">
        <v>73</v>
      </c>
      <c r="AE13" t="s">
        <v>73</v>
      </c>
      <c r="AF13" t="s">
        <v>81</v>
      </c>
      <c r="AG13" t="b">
        <v>0</v>
      </c>
      <c r="AH13" t="s">
        <v>73</v>
      </c>
      <c r="AI13" t="s">
        <v>80</v>
      </c>
      <c r="AJ13" t="s">
        <v>82</v>
      </c>
      <c r="AL13">
        <v>1</v>
      </c>
      <c r="AM13">
        <v>0.15</v>
      </c>
      <c r="AN13" t="s">
        <v>83</v>
      </c>
      <c r="AO13" t="s">
        <v>84</v>
      </c>
      <c r="AP13" t="s">
        <v>85</v>
      </c>
      <c r="AQ13" s="1">
        <v>1</v>
      </c>
      <c r="AS13" t="s">
        <v>87</v>
      </c>
      <c r="AT13" t="s">
        <v>87</v>
      </c>
      <c r="AV13" t="s">
        <v>87</v>
      </c>
      <c r="AW13" t="s">
        <v>87</v>
      </c>
      <c r="AY13" t="s">
        <v>94</v>
      </c>
      <c r="AZ13">
        <v>10</v>
      </c>
      <c r="BA13" cm="1">
        <f t="array" ref="BA13">_xlfn.IFS(AND(AB13 = "N", AA13 = "N", AF13 &lt;&gt; "Concentrated", AC13 = "N",H13="MARGIN_LOAN"), 10,
AND(AB13 = "N", AA13 = "N", AF13 &lt;&gt; "Concentrated", AC13 = "N",H13="SFT"), 5,
AND(AB13 = "N", AA13 = "N", AF13 &lt;&gt; "Concentrated", AC13 = "Y",H13="MARGIN_LOAN"), 20,
AND(AB13 = "N", AA13 = "N", AF13 &lt;&gt; "Concentrated", AC13 = "Y",H13="SFT"), 10,
AND(AB13 = "Y", AA13 = "N", AF13 &lt;&gt; "Concentrated", AC13 = "N"), 20,
AND(AB13 = "Y", AA13 = "N", AF13 &lt;&gt; "Concentrated", AC13 = "Y"), 40,
AND(AB13 = "N",  OR(AA13 = "Y", AF13 = "Concentrated"), AC13 = "N"), 20,
AND(AB13 = "N",  OR(AA13 = "Y", AF13 = "Concentrated"), AC13 = "Y"), 40,
AND(AB13 = "Y",  OR(AA13 = "Y", AF13 = "Concentrated"), AC13 = "N"), 20,
AND(AB13 = "Y",  OR(AA13 = "Y", AF13 = "Concentrated"), AC13 = "Y"), 40)</f>
        <v>20</v>
      </c>
      <c r="BB13">
        <f t="shared" si="0"/>
        <v>20</v>
      </c>
      <c r="BC13">
        <f t="shared" si="2"/>
        <v>10</v>
      </c>
      <c r="BD13">
        <f t="shared" si="1"/>
        <v>10</v>
      </c>
      <c r="BE13">
        <v>10</v>
      </c>
      <c r="BF13">
        <v>1</v>
      </c>
      <c r="BG13" t="str">
        <f t="shared" si="3"/>
        <v>SCENARIO</v>
      </c>
      <c r="BH13" t="s">
        <v>89</v>
      </c>
      <c r="BI13" t="b">
        <v>1</v>
      </c>
      <c r="BJ13">
        <v>1</v>
      </c>
      <c r="BK13">
        <v>1</v>
      </c>
      <c r="BL13" t="s">
        <v>87</v>
      </c>
      <c r="BN13">
        <v>41242</v>
      </c>
      <c r="BP13" s="4">
        <v>3764749</v>
      </c>
      <c r="BQ13">
        <v>10</v>
      </c>
      <c r="BR13">
        <v>20</v>
      </c>
      <c r="BS13">
        <v>100000002</v>
      </c>
      <c r="BT13" t="s">
        <v>101</v>
      </c>
    </row>
    <row r="14" spans="1:72" x14ac:dyDescent="0.35">
      <c r="A14" s="1">
        <v>45838</v>
      </c>
      <c r="B14" t="s">
        <v>72</v>
      </c>
      <c r="C14">
        <v>12</v>
      </c>
      <c r="D14">
        <v>100000001</v>
      </c>
      <c r="E14">
        <v>2</v>
      </c>
      <c r="F14">
        <v>2</v>
      </c>
      <c r="G14" t="s">
        <v>73</v>
      </c>
      <c r="H14" t="s">
        <v>74</v>
      </c>
      <c r="I14">
        <v>15</v>
      </c>
      <c r="J14">
        <v>163186</v>
      </c>
      <c r="K14">
        <v>56721483</v>
      </c>
      <c r="L14" t="s">
        <v>75</v>
      </c>
      <c r="M14">
        <v>2</v>
      </c>
      <c r="N14">
        <v>1</v>
      </c>
      <c r="O14">
        <v>1</v>
      </c>
      <c r="P14">
        <v>2</v>
      </c>
      <c r="Q14">
        <v>5</v>
      </c>
      <c r="R14">
        <v>0</v>
      </c>
      <c r="S14">
        <v>5</v>
      </c>
      <c r="T14" t="s">
        <v>76</v>
      </c>
      <c r="U14" t="s">
        <v>77</v>
      </c>
      <c r="V14" t="s">
        <v>107</v>
      </c>
      <c r="W14" t="s">
        <v>107</v>
      </c>
      <c r="X14" t="s">
        <v>79</v>
      </c>
      <c r="Y14" t="s">
        <v>80</v>
      </c>
      <c r="Z14" t="s">
        <v>73</v>
      </c>
      <c r="AA14" t="s">
        <v>80</v>
      </c>
      <c r="AB14" t="s">
        <v>80</v>
      </c>
      <c r="AC14" t="s">
        <v>80</v>
      </c>
      <c r="AD14" t="s">
        <v>73</v>
      </c>
      <c r="AE14" t="s">
        <v>73</v>
      </c>
      <c r="AF14" t="s">
        <v>81</v>
      </c>
      <c r="AG14" t="b">
        <v>0</v>
      </c>
      <c r="AH14" t="s">
        <v>73</v>
      </c>
      <c r="AI14" t="s">
        <v>80</v>
      </c>
      <c r="AJ14" t="s">
        <v>82</v>
      </c>
      <c r="AL14">
        <v>1</v>
      </c>
      <c r="AM14">
        <v>0.15</v>
      </c>
      <c r="AN14" t="s">
        <v>83</v>
      </c>
      <c r="AO14" t="s">
        <v>84</v>
      </c>
      <c r="AP14" t="s">
        <v>85</v>
      </c>
      <c r="AQ14" s="1">
        <v>1</v>
      </c>
      <c r="AS14" t="s">
        <v>108</v>
      </c>
      <c r="AT14" t="s">
        <v>108</v>
      </c>
      <c r="AV14" t="s">
        <v>108</v>
      </c>
      <c r="AW14" t="s">
        <v>87</v>
      </c>
      <c r="AY14" t="s">
        <v>94</v>
      </c>
      <c r="AZ14">
        <v>10</v>
      </c>
      <c r="BA14" cm="1">
        <f t="array" ref="BA14">_xlfn.IFS(AND(AB14 = "N", AA14 = "N", AF14 &lt;&gt; "Concentrated", AC14 = "N",H14="MARGIN_LOAN"), 10,
AND(AB14 = "N", AA14 = "N", AF14 &lt;&gt; "Concentrated", AC14 = "N",H14="SFT"), 5,
AND(AB14 = "N", AA14 = "N", AF14 &lt;&gt; "Concentrated", AC14 = "Y",H14="MARGIN_LOAN"), 20,
AND(AB14 = "N", AA14 = "N", AF14 &lt;&gt; "Concentrated", AC14 = "Y",H14="SFT"), 10,
AND(AB14 = "Y", AA14 = "N", AF14 &lt;&gt; "Concentrated", AC14 = "N"), 20,
AND(AB14 = "Y", AA14 = "N", AF14 &lt;&gt; "Concentrated", AC14 = "Y"), 40,
AND(AB14 = "N",  OR(AA14 = "Y", AF14 = "Concentrated"), AC14 = "N"), 20,
AND(AB14 = "N",  OR(AA14 = "Y", AF14 = "Concentrated"), AC14 = "Y"), 40,
AND(AB14 = "Y",  OR(AA14 = "Y", AF14 = "Concentrated"), AC14 = "N"), 20,
AND(AB14 = "Y",  OR(AA14 = "Y", AF14 = "Concentrated"), AC14 = "Y"), 40)</f>
        <v>20</v>
      </c>
      <c r="BB14">
        <f t="shared" si="0"/>
        <v>20</v>
      </c>
      <c r="BC14">
        <f t="shared" si="2"/>
        <v>10</v>
      </c>
      <c r="BD14">
        <f t="shared" si="1"/>
        <v>10</v>
      </c>
      <c r="BE14">
        <v>10</v>
      </c>
      <c r="BF14">
        <v>1</v>
      </c>
      <c r="BG14" t="str">
        <f t="shared" si="3"/>
        <v>SCENARIO</v>
      </c>
      <c r="BH14" t="s">
        <v>89</v>
      </c>
      <c r="BI14" t="b">
        <v>1</v>
      </c>
      <c r="BJ14">
        <v>1</v>
      </c>
      <c r="BK14">
        <v>1</v>
      </c>
      <c r="BL14" t="s">
        <v>108</v>
      </c>
      <c r="BN14">
        <v>219839</v>
      </c>
      <c r="BP14" s="4">
        <v>22813134.66</v>
      </c>
      <c r="BQ14">
        <v>10</v>
      </c>
      <c r="BR14">
        <v>20</v>
      </c>
      <c r="BS14">
        <v>100000002</v>
      </c>
      <c r="BT14" t="s">
        <v>101</v>
      </c>
    </row>
    <row r="15" spans="1:72" x14ac:dyDescent="0.35">
      <c r="A15" s="1">
        <v>45838</v>
      </c>
      <c r="B15" t="s">
        <v>72</v>
      </c>
      <c r="C15">
        <v>12</v>
      </c>
      <c r="D15">
        <v>100000001</v>
      </c>
      <c r="E15">
        <v>3</v>
      </c>
      <c r="F15">
        <v>3</v>
      </c>
      <c r="G15" t="s">
        <v>73</v>
      </c>
      <c r="H15" t="s">
        <v>74</v>
      </c>
      <c r="I15">
        <v>15</v>
      </c>
      <c r="J15">
        <v>163186</v>
      </c>
      <c r="K15">
        <v>62084915</v>
      </c>
      <c r="L15" t="s">
        <v>75</v>
      </c>
      <c r="M15">
        <v>1</v>
      </c>
      <c r="N15">
        <v>2</v>
      </c>
      <c r="O15">
        <v>1</v>
      </c>
      <c r="P15">
        <v>2</v>
      </c>
      <c r="Q15">
        <v>5</v>
      </c>
      <c r="R15">
        <v>0</v>
      </c>
      <c r="S15">
        <v>5</v>
      </c>
      <c r="T15" t="s">
        <v>76</v>
      </c>
      <c r="U15" t="s">
        <v>77</v>
      </c>
      <c r="V15" t="s">
        <v>109</v>
      </c>
      <c r="W15" t="s">
        <v>109</v>
      </c>
      <c r="X15" t="s">
        <v>79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G15" t="b">
        <v>0</v>
      </c>
      <c r="AH15" t="s">
        <v>73</v>
      </c>
      <c r="AI15" t="s">
        <v>80</v>
      </c>
      <c r="AJ15" t="s">
        <v>82</v>
      </c>
      <c r="AL15">
        <v>1</v>
      </c>
      <c r="AM15">
        <v>0.25</v>
      </c>
      <c r="AN15" t="s">
        <v>83</v>
      </c>
      <c r="AO15" t="s">
        <v>84</v>
      </c>
      <c r="AP15" t="s">
        <v>85</v>
      </c>
      <c r="AQ15" s="1">
        <v>1</v>
      </c>
      <c r="AS15" t="s">
        <v>87</v>
      </c>
      <c r="AT15" t="s">
        <v>87</v>
      </c>
      <c r="AV15" t="s">
        <v>87</v>
      </c>
      <c r="AW15" t="s">
        <v>87</v>
      </c>
      <c r="AX15" t="s">
        <v>87</v>
      </c>
      <c r="AY15" t="s">
        <v>94</v>
      </c>
      <c r="AZ15">
        <v>20</v>
      </c>
      <c r="BA15" cm="1">
        <f t="array" ref="BA15">_xlfn.IFS(AND(AB15 = "N", AA15 = "N", AF15 &lt;&gt; "Concentrated", AC15 = "N",H15="MARGIN_LOAN"), 10,
AND(AB15 = "N", AA15 = "N", AF15 &lt;&gt; "Concentrated", AC15 = "N",H15="SFT"), 5,
AND(AB15 = "N", AA15 = "N", AF15 &lt;&gt; "Concentrated", AC15 = "Y",H15="MARGIN_LOAN"), 20,
AND(AB15 = "N", AA15 = "N", AF15 &lt;&gt; "Concentrated", AC15 = "Y",H15="SFT"), 10,
AND(AB15 = "Y", AA15 = "N", AF15 &lt;&gt; "Concentrated", AC15 = "N"), 20,
AND(AB15 = "Y", AA15 = "N", AF15 &lt;&gt; "Concentrated", AC15 = "Y"), 40,
AND(AB15 = "N",  OR(AA15 = "Y", AF15 = "Concentrated"), AC15 = "N"), 20,
AND(AB15 = "N",  OR(AA15 = "Y", AF15 = "Concentrated"), AC15 = "Y"), 40,
AND(AB15 = "Y",  OR(AA15 = "Y", AF15 = "Concentrated"), AC15 = "N"), 20,
AND(AB15 = "Y",  OR(AA15 = "Y", AF15 = "Concentrated"), AC15 = "Y"), 40)</f>
        <v>10</v>
      </c>
      <c r="BB15">
        <f t="shared" si="0"/>
        <v>20</v>
      </c>
      <c r="BC15">
        <f t="shared" si="2"/>
        <v>10</v>
      </c>
      <c r="BD15">
        <f t="shared" si="1"/>
        <v>10</v>
      </c>
      <c r="BE15">
        <v>20</v>
      </c>
      <c r="BF15">
        <v>1</v>
      </c>
      <c r="BG15" t="str">
        <f t="shared" si="3"/>
        <v>NA</v>
      </c>
      <c r="BH15" t="s">
        <v>110</v>
      </c>
      <c r="BI15" t="b">
        <v>1</v>
      </c>
      <c r="BJ15">
        <v>1</v>
      </c>
      <c r="BK15">
        <v>1</v>
      </c>
      <c r="BL15" t="s">
        <v>87</v>
      </c>
      <c r="BN15">
        <v>12394</v>
      </c>
      <c r="BP15" s="4">
        <v>304306.8</v>
      </c>
      <c r="BQ15">
        <v>10</v>
      </c>
      <c r="BR15">
        <v>20</v>
      </c>
      <c r="BS15">
        <v>100000003</v>
      </c>
      <c r="BT15" t="s">
        <v>111</v>
      </c>
    </row>
    <row r="16" spans="1:72" x14ac:dyDescent="0.35">
      <c r="A16" s="1">
        <v>45838</v>
      </c>
      <c r="B16" t="s">
        <v>72</v>
      </c>
      <c r="C16">
        <v>12</v>
      </c>
      <c r="D16">
        <v>100000001</v>
      </c>
      <c r="E16">
        <v>3</v>
      </c>
      <c r="F16">
        <v>3</v>
      </c>
      <c r="G16" t="s">
        <v>73</v>
      </c>
      <c r="H16" t="s">
        <v>74</v>
      </c>
      <c r="I16">
        <v>15</v>
      </c>
      <c r="J16">
        <v>163186</v>
      </c>
      <c r="K16">
        <v>25319760</v>
      </c>
      <c r="L16" t="s">
        <v>75</v>
      </c>
      <c r="M16">
        <v>1</v>
      </c>
      <c r="N16">
        <v>2</v>
      </c>
      <c r="O16">
        <v>1</v>
      </c>
      <c r="P16">
        <v>2</v>
      </c>
      <c r="Q16">
        <v>5</v>
      </c>
      <c r="R16">
        <v>0</v>
      </c>
      <c r="S16">
        <v>5</v>
      </c>
      <c r="T16" t="s">
        <v>76</v>
      </c>
      <c r="U16" t="s">
        <v>77</v>
      </c>
      <c r="V16" t="s">
        <v>112</v>
      </c>
      <c r="W16" t="s">
        <v>112</v>
      </c>
      <c r="X16" t="s">
        <v>79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G16" t="b">
        <v>0</v>
      </c>
      <c r="AH16" t="s">
        <v>73</v>
      </c>
      <c r="AI16" t="s">
        <v>80</v>
      </c>
      <c r="AJ16" t="s">
        <v>82</v>
      </c>
      <c r="AK16" t="s">
        <v>93</v>
      </c>
      <c r="AL16">
        <v>1</v>
      </c>
      <c r="AM16">
        <v>0.15</v>
      </c>
      <c r="AN16" t="s">
        <v>83</v>
      </c>
      <c r="AO16" t="s">
        <v>84</v>
      </c>
      <c r="AP16" t="s">
        <v>85</v>
      </c>
      <c r="AQ16" s="1">
        <v>1</v>
      </c>
      <c r="AS16" t="s">
        <v>113</v>
      </c>
      <c r="AT16" t="s">
        <v>113</v>
      </c>
      <c r="AV16" t="s">
        <v>113</v>
      </c>
      <c r="AW16" t="s">
        <v>87</v>
      </c>
      <c r="AX16" t="s">
        <v>87</v>
      </c>
      <c r="AY16" t="s">
        <v>88</v>
      </c>
      <c r="AZ16">
        <v>20</v>
      </c>
      <c r="BA16" cm="1">
        <f t="array" ref="BA16">_xlfn.IFS(AND(AB16 = "N", AA16 = "N", AF16 &lt;&gt; "Concentrated", AC16 = "N",H16="MARGIN_LOAN"), 10,
AND(AB16 = "N", AA16 = "N", AF16 &lt;&gt; "Concentrated", AC16 = "N",H16="SFT"), 5,
AND(AB16 = "N", AA16 = "N", AF16 &lt;&gt; "Concentrated", AC16 = "Y",H16="MARGIN_LOAN"), 20,
AND(AB16 = "N", AA16 = "N", AF16 &lt;&gt; "Concentrated", AC16 = "Y",H16="SFT"), 10,
AND(AB16 = "Y", AA16 = "N", AF16 &lt;&gt; "Concentrated", AC16 = "N"), 20,
AND(AB16 = "Y", AA16 = "N", AF16 &lt;&gt; "Concentrated", AC16 = "Y"), 40,
AND(AB16 = "N",  OR(AA16 = "Y", AF16 = "Concentrated"), AC16 = "N"), 20,
AND(AB16 = "N",  OR(AA16 = "Y", AF16 = "Concentrated"), AC16 = "Y"), 40,
AND(AB16 = "Y",  OR(AA16 = "Y", AF16 = "Concentrated"), AC16 = "N"), 20,
AND(AB16 = "Y",  OR(AA16 = "Y", AF16 = "Concentrated"), AC16 = "Y"), 40)</f>
        <v>10</v>
      </c>
      <c r="BB16">
        <f t="shared" si="0"/>
        <v>20</v>
      </c>
      <c r="BC16">
        <f t="shared" si="2"/>
        <v>10</v>
      </c>
      <c r="BD16">
        <f t="shared" si="1"/>
        <v>10</v>
      </c>
      <c r="BE16">
        <v>20</v>
      </c>
      <c r="BF16">
        <v>1</v>
      </c>
      <c r="BG16" t="str">
        <f t="shared" si="3"/>
        <v>NA</v>
      </c>
      <c r="BH16" t="s">
        <v>110</v>
      </c>
      <c r="BI16" t="b">
        <v>1</v>
      </c>
      <c r="BJ16">
        <v>1</v>
      </c>
      <c r="BK16">
        <v>1</v>
      </c>
      <c r="BM16" t="s">
        <v>113</v>
      </c>
      <c r="BN16">
        <v>141251</v>
      </c>
      <c r="BP16" s="4">
        <v>4057479.94</v>
      </c>
      <c r="BQ16">
        <v>10</v>
      </c>
      <c r="BR16">
        <v>20</v>
      </c>
      <c r="BS16">
        <v>100000003</v>
      </c>
      <c r="BT16" t="s">
        <v>111</v>
      </c>
    </row>
    <row r="17" spans="1:72" x14ac:dyDescent="0.35">
      <c r="A17" s="1">
        <v>45838</v>
      </c>
      <c r="B17" t="s">
        <v>72</v>
      </c>
      <c r="C17">
        <v>12</v>
      </c>
      <c r="D17">
        <v>100000001</v>
      </c>
      <c r="E17">
        <v>3</v>
      </c>
      <c r="F17">
        <v>3</v>
      </c>
      <c r="G17" t="s">
        <v>73</v>
      </c>
      <c r="H17" t="s">
        <v>74</v>
      </c>
      <c r="I17">
        <v>15</v>
      </c>
      <c r="J17">
        <v>163186</v>
      </c>
      <c r="K17">
        <v>94186207</v>
      </c>
      <c r="L17" t="s">
        <v>75</v>
      </c>
      <c r="M17">
        <v>1</v>
      </c>
      <c r="N17">
        <v>2</v>
      </c>
      <c r="O17">
        <v>1</v>
      </c>
      <c r="P17">
        <v>2</v>
      </c>
      <c r="Q17">
        <v>5</v>
      </c>
      <c r="R17">
        <v>0</v>
      </c>
      <c r="S17">
        <v>5</v>
      </c>
      <c r="T17" t="s">
        <v>76</v>
      </c>
      <c r="U17" t="s">
        <v>77</v>
      </c>
      <c r="V17" t="s">
        <v>114</v>
      </c>
      <c r="W17" t="s">
        <v>114</v>
      </c>
      <c r="X17" t="s">
        <v>79</v>
      </c>
      <c r="Y17" t="s">
        <v>80</v>
      </c>
      <c r="Z17" t="s">
        <v>80</v>
      </c>
      <c r="AA17" t="s">
        <v>80</v>
      </c>
      <c r="AB17" t="s">
        <v>80</v>
      </c>
      <c r="AC17" t="s">
        <v>80</v>
      </c>
      <c r="AD17" t="s">
        <v>80</v>
      </c>
      <c r="AE17" t="s">
        <v>80</v>
      </c>
      <c r="AG17" t="b">
        <v>0</v>
      </c>
      <c r="AH17" t="s">
        <v>73</v>
      </c>
      <c r="AI17" t="s">
        <v>80</v>
      </c>
      <c r="AJ17" t="s">
        <v>82</v>
      </c>
      <c r="AL17">
        <v>1</v>
      </c>
      <c r="AM17">
        <v>0.25</v>
      </c>
      <c r="AN17" t="s">
        <v>83</v>
      </c>
      <c r="AO17" t="s">
        <v>84</v>
      </c>
      <c r="AP17" t="s">
        <v>85</v>
      </c>
      <c r="AQ17" s="1">
        <v>1</v>
      </c>
      <c r="AS17" t="s">
        <v>87</v>
      </c>
      <c r="AT17" t="s">
        <v>87</v>
      </c>
      <c r="AV17" t="s">
        <v>87</v>
      </c>
      <c r="AW17" t="s">
        <v>87</v>
      </c>
      <c r="AX17" t="s">
        <v>87</v>
      </c>
      <c r="AY17" t="s">
        <v>94</v>
      </c>
      <c r="AZ17">
        <v>20</v>
      </c>
      <c r="BA17" cm="1">
        <f t="array" ref="BA17">_xlfn.IFS(AND(AB17 = "N", AA17 = "N", AF17 &lt;&gt; "Concentrated", AC17 = "N",H17="MARGIN_LOAN"), 10,
AND(AB17 = "N", AA17 = "N", AF17 &lt;&gt; "Concentrated", AC17 = "N",H17="SFT"), 5,
AND(AB17 = "N", AA17 = "N", AF17 &lt;&gt; "Concentrated", AC17 = "Y",H17="MARGIN_LOAN"), 20,
AND(AB17 = "N", AA17 = "N", AF17 &lt;&gt; "Concentrated", AC17 = "Y",H17="SFT"), 10,
AND(AB17 = "Y", AA17 = "N", AF17 &lt;&gt; "Concentrated", AC17 = "N"), 20,
AND(AB17 = "Y", AA17 = "N", AF17 &lt;&gt; "Concentrated", AC17 = "Y"), 40,
AND(AB17 = "N",  OR(AA17 = "Y", AF17 = "Concentrated"), AC17 = "N"), 20,
AND(AB17 = "N",  OR(AA17 = "Y", AF17 = "Concentrated"), AC17 = "Y"), 40,
AND(AB17 = "Y",  OR(AA17 = "Y", AF17 = "Concentrated"), AC17 = "N"), 20,
AND(AB17 = "Y",  OR(AA17 = "Y", AF17 = "Concentrated"), AC17 = "Y"), 40)</f>
        <v>10</v>
      </c>
      <c r="BB17">
        <f t="shared" si="0"/>
        <v>20</v>
      </c>
      <c r="BC17">
        <f>IF(OR(BH17="SCENARIO1",BH17="SCENARIO2"),10,BA17)</f>
        <v>10</v>
      </c>
      <c r="BD17">
        <f t="shared" si="1"/>
        <v>10</v>
      </c>
      <c r="BE17">
        <v>20</v>
      </c>
      <c r="BF17">
        <v>1</v>
      </c>
      <c r="BG17" t="str">
        <f t="shared" si="3"/>
        <v>NA</v>
      </c>
      <c r="BH17" t="s">
        <v>110</v>
      </c>
      <c r="BI17" t="b">
        <v>1</v>
      </c>
      <c r="BJ17">
        <v>1</v>
      </c>
      <c r="BK17">
        <v>1</v>
      </c>
      <c r="BL17" t="s">
        <v>87</v>
      </c>
      <c r="BN17">
        <v>32321</v>
      </c>
      <c r="BP17" s="4">
        <v>10109437.279999999</v>
      </c>
      <c r="BQ17">
        <v>10</v>
      </c>
      <c r="BR17">
        <v>20</v>
      </c>
      <c r="BS17">
        <v>100000003</v>
      </c>
      <c r="BT17" t="s">
        <v>111</v>
      </c>
    </row>
    <row r="18" spans="1:72" x14ac:dyDescent="0.35">
      <c r="A18" s="1">
        <v>45838</v>
      </c>
      <c r="B18" t="s">
        <v>72</v>
      </c>
      <c r="C18">
        <v>12</v>
      </c>
      <c r="D18">
        <v>100000001</v>
      </c>
      <c r="E18">
        <v>3</v>
      </c>
      <c r="F18">
        <v>3</v>
      </c>
      <c r="G18" t="s">
        <v>73</v>
      </c>
      <c r="H18" t="s">
        <v>74</v>
      </c>
      <c r="I18">
        <v>15</v>
      </c>
      <c r="J18">
        <v>163186</v>
      </c>
      <c r="K18">
        <v>87452013</v>
      </c>
      <c r="L18" t="s">
        <v>75</v>
      </c>
      <c r="M18">
        <v>1</v>
      </c>
      <c r="N18">
        <v>2</v>
      </c>
      <c r="O18">
        <v>1</v>
      </c>
      <c r="P18">
        <v>2</v>
      </c>
      <c r="Q18">
        <v>5</v>
      </c>
      <c r="R18">
        <v>0</v>
      </c>
      <c r="S18">
        <v>5</v>
      </c>
      <c r="T18" t="s">
        <v>76</v>
      </c>
      <c r="U18" t="s">
        <v>77</v>
      </c>
      <c r="V18" t="s">
        <v>115</v>
      </c>
      <c r="W18" t="s">
        <v>115</v>
      </c>
      <c r="X18" t="s">
        <v>79</v>
      </c>
      <c r="Y18" t="s">
        <v>80</v>
      </c>
      <c r="Z18" t="s">
        <v>80</v>
      </c>
      <c r="AA18" s="2" t="s">
        <v>73</v>
      </c>
      <c r="AB18" t="s">
        <v>80</v>
      </c>
      <c r="AC18" t="s">
        <v>80</v>
      </c>
      <c r="AD18" t="s">
        <v>80</v>
      </c>
      <c r="AE18" t="s">
        <v>80</v>
      </c>
      <c r="AG18" t="b">
        <v>0</v>
      </c>
      <c r="AH18" t="s">
        <v>73</v>
      </c>
      <c r="AI18" t="s">
        <v>80</v>
      </c>
      <c r="AJ18" t="s">
        <v>82</v>
      </c>
      <c r="AL18">
        <v>1</v>
      </c>
      <c r="AM18">
        <v>0.15</v>
      </c>
      <c r="AN18" t="s">
        <v>83</v>
      </c>
      <c r="AO18" t="s">
        <v>84</v>
      </c>
      <c r="AP18" t="s">
        <v>85</v>
      </c>
      <c r="AQ18" s="1">
        <v>1</v>
      </c>
      <c r="AW18" t="s">
        <v>87</v>
      </c>
      <c r="AX18" t="s">
        <v>87</v>
      </c>
      <c r="AY18" t="s">
        <v>88</v>
      </c>
      <c r="AZ18">
        <v>20</v>
      </c>
      <c r="BA18" cm="1">
        <f t="array" ref="BA18">_xlfn.IFS(AND(AB18 = "N", AA18 = "N", AF18 &lt;&gt; "Concentrated", AC18 = "N",H18="MARGIN_LOAN"), 10,
AND(AB18 = "N", AA18 = "N", AF18 &lt;&gt; "Concentrated", AC18 = "N",H18="SFT"), 5,
AND(AB18 = "N", AA18 = "N", AF18 &lt;&gt; "Concentrated", AC18 = "Y",H18="MARGIN_LOAN"), 20,
AND(AB18 = "N", AA18 = "N", AF18 &lt;&gt; "Concentrated", AC18 = "Y",H18="SFT"), 10,
AND(AB18 = "Y", AA18 = "N", AF18 &lt;&gt; "Concentrated", AC18 = "N"), 20,
AND(AB18 = "Y", AA18 = "N", AF18 &lt;&gt; "Concentrated", AC18 = "Y"), 40,
AND(AB18 = "N",  OR(AA18 = "Y", AF18 = "Concentrated"), AC18 = "N"), 20,
AND(AB18 = "N",  OR(AA18 = "Y", AF18 = "Concentrated"), AC18 = "Y"), 40,
AND(AB18 = "Y",  OR(AA18 = "Y", AF18 = "Concentrated"), AC18 = "N"), 20,
AND(AB18 = "Y",  OR(AA18 = "Y", AF18 = "Concentrated"), AC18 = "Y"), 40)</f>
        <v>20</v>
      </c>
      <c r="BB18">
        <f t="shared" si="0"/>
        <v>20</v>
      </c>
      <c r="BC18">
        <f t="shared" ref="BC18:BC19" si="4">IF(OR(BH18="SCENARIO1",BH18="SCENARIO2"),10,BA18)</f>
        <v>10</v>
      </c>
      <c r="BD18">
        <f t="shared" si="1"/>
        <v>10</v>
      </c>
      <c r="BE18">
        <v>20</v>
      </c>
      <c r="BF18">
        <v>1</v>
      </c>
      <c r="BG18" t="str">
        <f t="shared" si="3"/>
        <v>NA</v>
      </c>
      <c r="BH18" t="s">
        <v>110</v>
      </c>
      <c r="BI18" t="b">
        <v>1</v>
      </c>
      <c r="BJ18">
        <v>1</v>
      </c>
      <c r="BK18">
        <v>1</v>
      </c>
      <c r="BM18" t="s">
        <v>87</v>
      </c>
      <c r="BN18">
        <v>1351</v>
      </c>
      <c r="BP18" s="4">
        <v>8924661.7300000004</v>
      </c>
      <c r="BQ18">
        <v>10</v>
      </c>
      <c r="BR18">
        <v>20</v>
      </c>
      <c r="BS18">
        <v>100000003</v>
      </c>
      <c r="BT18" t="s">
        <v>111</v>
      </c>
    </row>
    <row r="19" spans="1:72" x14ac:dyDescent="0.35">
      <c r="A19" s="1">
        <v>45838</v>
      </c>
      <c r="B19" t="s">
        <v>72</v>
      </c>
      <c r="C19">
        <v>12</v>
      </c>
      <c r="D19">
        <v>100000001</v>
      </c>
      <c r="E19">
        <v>3</v>
      </c>
      <c r="F19">
        <v>3</v>
      </c>
      <c r="G19" t="s">
        <v>73</v>
      </c>
      <c r="H19" t="s">
        <v>74</v>
      </c>
      <c r="I19">
        <v>1</v>
      </c>
      <c r="J19">
        <v>163186</v>
      </c>
      <c r="K19">
        <v>31860794</v>
      </c>
      <c r="L19" t="s">
        <v>75</v>
      </c>
      <c r="M19">
        <v>1</v>
      </c>
      <c r="N19">
        <v>2</v>
      </c>
      <c r="O19">
        <v>1</v>
      </c>
      <c r="P19">
        <v>2</v>
      </c>
      <c r="Q19">
        <v>5</v>
      </c>
      <c r="R19">
        <v>0</v>
      </c>
      <c r="S19">
        <v>5</v>
      </c>
      <c r="T19" t="s">
        <v>76</v>
      </c>
      <c r="U19" t="s">
        <v>77</v>
      </c>
      <c r="V19" t="s">
        <v>116</v>
      </c>
      <c r="W19" t="s">
        <v>116</v>
      </c>
      <c r="X19" t="s">
        <v>79</v>
      </c>
      <c r="Y19" t="s">
        <v>80</v>
      </c>
      <c r="Z19" t="s">
        <v>80</v>
      </c>
      <c r="AA19" t="s">
        <v>80</v>
      </c>
      <c r="AB19" t="s">
        <v>80</v>
      </c>
      <c r="AC19" t="s">
        <v>80</v>
      </c>
      <c r="AD19" t="s">
        <v>80</v>
      </c>
      <c r="AE19" t="s">
        <v>80</v>
      </c>
      <c r="AG19" t="b">
        <v>0</v>
      </c>
      <c r="AH19" t="s">
        <v>73</v>
      </c>
      <c r="AI19" t="s">
        <v>80</v>
      </c>
      <c r="AJ19" t="s">
        <v>82</v>
      </c>
      <c r="AL19">
        <v>1</v>
      </c>
      <c r="AM19">
        <v>0.15</v>
      </c>
      <c r="AN19" t="s">
        <v>83</v>
      </c>
      <c r="AO19" t="s">
        <v>84</v>
      </c>
      <c r="AP19" t="s">
        <v>85</v>
      </c>
      <c r="AQ19" s="1">
        <v>1</v>
      </c>
      <c r="AS19" t="s">
        <v>87</v>
      </c>
      <c r="AT19" t="s">
        <v>87</v>
      </c>
      <c r="AV19" t="s">
        <v>87</v>
      </c>
      <c r="AW19" t="s">
        <v>87</v>
      </c>
      <c r="AX19" t="s">
        <v>87</v>
      </c>
      <c r="AY19" t="s">
        <v>94</v>
      </c>
      <c r="AZ19">
        <v>20</v>
      </c>
      <c r="BA19" cm="1">
        <f t="array" ref="BA19">_xlfn.IFS(AND(AB19 = "N", AA19 = "N", AF19 &lt;&gt; "Concentrated", AC19 = "N",H19="MARGIN_LOAN"), 10,
AND(AB19 = "N", AA19 = "N", AF19 &lt;&gt; "Concentrated", AC19 = "N",H19="SFT"), 5,
AND(AB19 = "N", AA19 = "N", AF19 &lt;&gt; "Concentrated", AC19 = "Y",H19="MARGIN_LOAN"), 20,
AND(AB19 = "N", AA19 = "N", AF19 &lt;&gt; "Concentrated", AC19 = "Y",H19="SFT"), 10,
AND(AB19 = "Y", AA19 = "N", AF19 &lt;&gt; "Concentrated", AC19 = "N"), 20,
AND(AB19 = "Y", AA19 = "N", AF19 &lt;&gt; "Concentrated", AC19 = "Y"), 40,
AND(AB19 = "N",  OR(AA19 = "Y", AF19 = "Concentrated"), AC19 = "N"), 20,
AND(AB19 = "N",  OR(AA19 = "Y", AF19 = "Concentrated"), AC19 = "Y"), 40,
AND(AB19 = "Y",  OR(AA19 = "Y", AF19 = "Concentrated"), AC19 = "N"), 20,
AND(AB19 = "Y",  OR(AA19 = "Y", AF19 = "Concentrated"), AC19 = "Y"), 40)</f>
        <v>10</v>
      </c>
      <c r="BB19">
        <f t="shared" si="0"/>
        <v>20</v>
      </c>
      <c r="BC19">
        <f t="shared" si="4"/>
        <v>10</v>
      </c>
      <c r="BD19">
        <f t="shared" si="1"/>
        <v>10</v>
      </c>
      <c r="BE19">
        <v>20</v>
      </c>
      <c r="BF19">
        <v>1</v>
      </c>
      <c r="BG19" t="str">
        <f t="shared" si="3"/>
        <v>NA</v>
      </c>
      <c r="BH19" t="s">
        <v>110</v>
      </c>
      <c r="BI19" t="b">
        <v>1</v>
      </c>
      <c r="BJ19">
        <v>0</v>
      </c>
      <c r="BK19">
        <v>0</v>
      </c>
      <c r="BL19" t="s">
        <v>87</v>
      </c>
      <c r="BN19">
        <v>1233</v>
      </c>
      <c r="BP19" s="4">
        <v>932727.68</v>
      </c>
      <c r="BQ19">
        <v>10</v>
      </c>
      <c r="BR19">
        <v>20</v>
      </c>
      <c r="BS19">
        <v>100000003</v>
      </c>
      <c r="BT19" t="s">
        <v>111</v>
      </c>
    </row>
    <row r="20" spans="1:72" x14ac:dyDescent="0.35">
      <c r="A20" s="1">
        <v>45838</v>
      </c>
      <c r="B20" t="s">
        <v>72</v>
      </c>
      <c r="C20">
        <v>12</v>
      </c>
      <c r="D20">
        <v>100000001</v>
      </c>
      <c r="E20">
        <v>4</v>
      </c>
      <c r="F20">
        <v>4</v>
      </c>
      <c r="G20" t="s">
        <v>73</v>
      </c>
      <c r="H20" t="s">
        <v>117</v>
      </c>
      <c r="I20">
        <v>1</v>
      </c>
      <c r="J20">
        <v>163186</v>
      </c>
      <c r="K20">
        <v>20517368</v>
      </c>
      <c r="L20" t="s">
        <v>75</v>
      </c>
      <c r="M20">
        <v>1</v>
      </c>
      <c r="N20">
        <v>2</v>
      </c>
      <c r="O20">
        <v>1</v>
      </c>
      <c r="P20">
        <v>2</v>
      </c>
      <c r="Q20">
        <v>5</v>
      </c>
      <c r="R20">
        <v>0</v>
      </c>
      <c r="S20">
        <v>5</v>
      </c>
      <c r="T20" t="s">
        <v>76</v>
      </c>
      <c r="U20" t="s">
        <v>77</v>
      </c>
      <c r="V20" t="s">
        <v>118</v>
      </c>
      <c r="W20" t="s">
        <v>118</v>
      </c>
      <c r="X20" t="s">
        <v>79</v>
      </c>
      <c r="Y20" t="s">
        <v>80</v>
      </c>
      <c r="Z20" t="s">
        <v>73</v>
      </c>
      <c r="AA20" t="s">
        <v>80</v>
      </c>
      <c r="AB20" t="s">
        <v>80</v>
      </c>
      <c r="AC20" t="s">
        <v>80</v>
      </c>
      <c r="AD20" t="s">
        <v>73</v>
      </c>
      <c r="AE20" t="s">
        <v>73</v>
      </c>
      <c r="AF20" t="s">
        <v>81</v>
      </c>
      <c r="AG20" t="b">
        <v>0</v>
      </c>
      <c r="AH20" t="s">
        <v>73</v>
      </c>
      <c r="AI20" t="s">
        <v>80</v>
      </c>
      <c r="AJ20" t="s">
        <v>82</v>
      </c>
      <c r="AL20">
        <v>1</v>
      </c>
      <c r="AM20">
        <v>0.25</v>
      </c>
      <c r="AN20" t="s">
        <v>83</v>
      </c>
      <c r="AO20" t="s">
        <v>84</v>
      </c>
      <c r="AP20" t="s">
        <v>85</v>
      </c>
      <c r="AQ20" s="1">
        <v>45839</v>
      </c>
      <c r="AR20" s="1">
        <v>45839</v>
      </c>
      <c r="AS20" t="s">
        <v>87</v>
      </c>
      <c r="AT20" t="s">
        <v>87</v>
      </c>
      <c r="AU20" t="s">
        <v>87</v>
      </c>
      <c r="AV20" t="s">
        <v>87</v>
      </c>
      <c r="AW20" t="s">
        <v>87</v>
      </c>
      <c r="AX20" t="s">
        <v>87</v>
      </c>
      <c r="AY20" t="s">
        <v>88</v>
      </c>
      <c r="AZ20">
        <v>5</v>
      </c>
      <c r="BA20" cm="1">
        <f t="array" ref="BA20">_xlfn.IFS(AND(AB20 = "N", AA20 = "N", AF20 &lt;&gt; "Concentrated", AC20 = "N",H20="MARGIN_LOAN"), 10,
AND(AB20 = "N", AA20 = "N", AF20 &lt;&gt; "Concentrated", AC20 = "N",H20="SFT"), 5,
AND(AB20 = "N", AA20 = "N", AF20 &lt;&gt; "Concentrated", AC20 = "Y",H20="MARGIN_LOAN"), 20,
AND(AB20 = "N", AA20 = "N", AF20 &lt;&gt; "Concentrated", AC20 = "Y",H20="SFT"), 10,
AND(AB20 = "Y", AA20 = "N", AF20 &lt;&gt; "Concentrated", AC20 = "N"), 20,
AND(AB20 = "Y", AA20 = "N", AF20 &lt;&gt; "Concentrated", AC20 = "Y"), 40,
AND(AB20 = "N",  OR(AA20 = "Y", AF20 = "Concentrated"), AC20 = "N"), 20,
AND(AB20 = "N",  OR(AA20 = "Y", AF20 = "Concentrated"), AC20 = "Y"), 40,
AND(AB20 = "Y",  OR(AA20 = "Y", AF20 = "Concentrated"), AC20 = "N"), 20,
AND(AB20 = "Y",  OR(AA20 = "Y", AF20 = "Concentrated"), AC20 = "Y"), 40)</f>
        <v>20</v>
      </c>
      <c r="BB20">
        <f t="shared" si="0"/>
        <v>20</v>
      </c>
      <c r="BC20">
        <f>IF(OR(BH20="SCENARIO1",BH20="SCENARIO2"),5,BA20)</f>
        <v>5</v>
      </c>
      <c r="BD20">
        <f t="shared" si="1"/>
        <v>5</v>
      </c>
      <c r="BE20">
        <v>5</v>
      </c>
      <c r="BF20">
        <v>1</v>
      </c>
      <c r="BG20" t="str">
        <f t="shared" si="3"/>
        <v>SCENARIO</v>
      </c>
      <c r="BH20" t="s">
        <v>89</v>
      </c>
      <c r="BI20" t="b">
        <v>1</v>
      </c>
      <c r="BJ20">
        <v>1</v>
      </c>
      <c r="BK20">
        <v>1</v>
      </c>
      <c r="BL20" t="s">
        <v>87</v>
      </c>
      <c r="BM20" t="s">
        <v>87</v>
      </c>
      <c r="BN20">
        <v>18000</v>
      </c>
      <c r="BP20" s="3">
        <v>842383.03949999996</v>
      </c>
      <c r="BQ20">
        <v>5</v>
      </c>
      <c r="BR20">
        <v>20</v>
      </c>
      <c r="BS20">
        <v>100000004</v>
      </c>
      <c r="BT20" t="s">
        <v>119</v>
      </c>
    </row>
    <row r="21" spans="1:72" x14ac:dyDescent="0.35">
      <c r="A21" s="1">
        <v>45838</v>
      </c>
      <c r="B21" t="s">
        <v>72</v>
      </c>
      <c r="C21">
        <v>12</v>
      </c>
      <c r="D21">
        <v>100000001</v>
      </c>
      <c r="E21">
        <v>4</v>
      </c>
      <c r="F21">
        <v>4</v>
      </c>
      <c r="G21" t="s">
        <v>73</v>
      </c>
      <c r="H21" t="s">
        <v>117</v>
      </c>
      <c r="I21">
        <v>1</v>
      </c>
      <c r="J21">
        <v>163186</v>
      </c>
      <c r="K21">
        <v>78630251</v>
      </c>
      <c r="L21" t="s">
        <v>75</v>
      </c>
      <c r="M21">
        <v>1</v>
      </c>
      <c r="N21">
        <v>2</v>
      </c>
      <c r="O21">
        <v>1</v>
      </c>
      <c r="P21">
        <v>2</v>
      </c>
      <c r="Q21">
        <v>5</v>
      </c>
      <c r="R21">
        <v>0</v>
      </c>
      <c r="S21">
        <v>5</v>
      </c>
      <c r="T21" t="s">
        <v>76</v>
      </c>
      <c r="U21" t="s">
        <v>77</v>
      </c>
      <c r="V21" t="s">
        <v>120</v>
      </c>
      <c r="W21" t="s">
        <v>120</v>
      </c>
      <c r="X21" t="s">
        <v>79</v>
      </c>
      <c r="Y21" t="s">
        <v>80</v>
      </c>
      <c r="Z21" t="s">
        <v>73</v>
      </c>
      <c r="AA21" t="s">
        <v>80</v>
      </c>
      <c r="AB21" t="s">
        <v>80</v>
      </c>
      <c r="AC21" t="s">
        <v>80</v>
      </c>
      <c r="AD21" t="s">
        <v>73</v>
      </c>
      <c r="AE21" t="s">
        <v>73</v>
      </c>
      <c r="AF21" t="s">
        <v>81</v>
      </c>
      <c r="AG21" t="b">
        <v>0</v>
      </c>
      <c r="AH21" t="s">
        <v>73</v>
      </c>
      <c r="AI21" t="s">
        <v>80</v>
      </c>
      <c r="AJ21" t="s">
        <v>82</v>
      </c>
      <c r="AL21">
        <v>1</v>
      </c>
      <c r="AM21">
        <v>0.25</v>
      </c>
      <c r="AN21" t="s">
        <v>83</v>
      </c>
      <c r="AO21" t="s">
        <v>84</v>
      </c>
      <c r="AP21" t="s">
        <v>85</v>
      </c>
      <c r="AQ21" s="1">
        <v>45839</v>
      </c>
      <c r="AR21" s="1">
        <v>45839</v>
      </c>
      <c r="AS21" t="s">
        <v>87</v>
      </c>
      <c r="AT21" t="s">
        <v>87</v>
      </c>
      <c r="AU21" t="s">
        <v>87</v>
      </c>
      <c r="AV21" t="s">
        <v>87</v>
      </c>
      <c r="AW21" t="s">
        <v>87</v>
      </c>
      <c r="AX21" t="s">
        <v>87</v>
      </c>
      <c r="AY21" t="s">
        <v>94</v>
      </c>
      <c r="AZ21">
        <v>5</v>
      </c>
      <c r="BA21" cm="1">
        <f t="array" ref="BA21">_xlfn.IFS(AND(AB21 = "N", AA21 = "N", AF21 &lt;&gt; "Concentrated", AC21 = "N",H21="MARGIN_LOAN"), 10,
AND(AB21 = "N", AA21 = "N", AF21 &lt;&gt; "Concentrated", AC21 = "N",H21="SFT"), 5,
AND(AB21 = "N", AA21 = "N", AF21 &lt;&gt; "Concentrated", AC21 = "Y",H21="MARGIN_LOAN"), 20,
AND(AB21 = "N", AA21 = "N", AF21 &lt;&gt; "Concentrated", AC21 = "Y",H21="SFT"), 10,
AND(AB21 = "Y", AA21 = "N", AF21 &lt;&gt; "Concentrated", AC21 = "N"), 20,
AND(AB21 = "Y", AA21 = "N", AF21 &lt;&gt; "Concentrated", AC21 = "Y"), 40,
AND(AB21 = "N",  OR(AA21 = "Y", AF21 = "Concentrated"), AC21 = "N"), 20,
AND(AB21 = "N",  OR(AA21 = "Y", AF21 = "Concentrated"), AC21 = "Y"), 40,
AND(AB21 = "Y",  OR(AA21 = "Y", AF21 = "Concentrated"), AC21 = "N"), 20,
AND(AB21 = "Y",  OR(AA21 = "Y", AF21 = "Concentrated"), AC21 = "Y"), 40)</f>
        <v>20</v>
      </c>
      <c r="BB21">
        <f t="shared" si="0"/>
        <v>20</v>
      </c>
      <c r="BC21">
        <f t="shared" ref="BC21:BC45" si="5">IF(OR(BH21="SCENARIO1",BH21="SCENARIO2"),5,BA21)</f>
        <v>5</v>
      </c>
      <c r="BD21">
        <f t="shared" si="1"/>
        <v>5</v>
      </c>
      <c r="BE21">
        <v>5</v>
      </c>
      <c r="BF21">
        <v>1</v>
      </c>
      <c r="BG21" t="str">
        <f t="shared" si="3"/>
        <v>SCENARIO</v>
      </c>
      <c r="BH21" t="s">
        <v>89</v>
      </c>
      <c r="BI21" t="b">
        <v>1</v>
      </c>
      <c r="BJ21">
        <v>1</v>
      </c>
      <c r="BK21">
        <v>1</v>
      </c>
      <c r="BL21" t="s">
        <v>87</v>
      </c>
      <c r="BM21" t="s">
        <v>87</v>
      </c>
      <c r="BN21">
        <v>8000</v>
      </c>
      <c r="BP21" s="3">
        <v>8693482.6610000003</v>
      </c>
      <c r="BQ21">
        <v>5</v>
      </c>
      <c r="BR21">
        <v>20</v>
      </c>
      <c r="BS21">
        <v>100000004</v>
      </c>
      <c r="BT21" t="s">
        <v>119</v>
      </c>
    </row>
    <row r="22" spans="1:72" x14ac:dyDescent="0.35">
      <c r="A22" s="1">
        <v>45838</v>
      </c>
      <c r="B22" t="s">
        <v>72</v>
      </c>
      <c r="C22">
        <v>12</v>
      </c>
      <c r="D22">
        <v>100000001</v>
      </c>
      <c r="E22">
        <v>4</v>
      </c>
      <c r="F22">
        <v>4</v>
      </c>
      <c r="G22" t="s">
        <v>73</v>
      </c>
      <c r="H22" t="s">
        <v>117</v>
      </c>
      <c r="I22">
        <v>1</v>
      </c>
      <c r="J22">
        <v>163186</v>
      </c>
      <c r="K22">
        <v>45918723</v>
      </c>
      <c r="L22" t="s">
        <v>75</v>
      </c>
      <c r="M22">
        <v>1</v>
      </c>
      <c r="N22">
        <v>2</v>
      </c>
      <c r="O22">
        <v>1</v>
      </c>
      <c r="P22">
        <v>2</v>
      </c>
      <c r="Q22">
        <v>5</v>
      </c>
      <c r="R22">
        <v>0</v>
      </c>
      <c r="S22">
        <v>5</v>
      </c>
      <c r="T22" t="s">
        <v>76</v>
      </c>
      <c r="U22" t="s">
        <v>77</v>
      </c>
      <c r="V22" t="s">
        <v>121</v>
      </c>
      <c r="W22" t="s">
        <v>121</v>
      </c>
      <c r="X22" t="s">
        <v>79</v>
      </c>
      <c r="Y22" t="s">
        <v>80</v>
      </c>
      <c r="Z22" t="s">
        <v>73</v>
      </c>
      <c r="AA22" t="s">
        <v>80</v>
      </c>
      <c r="AB22" t="s">
        <v>80</v>
      </c>
      <c r="AC22" t="s">
        <v>80</v>
      </c>
      <c r="AD22" t="s">
        <v>73</v>
      </c>
      <c r="AE22" t="s">
        <v>73</v>
      </c>
      <c r="AF22" t="s">
        <v>81</v>
      </c>
      <c r="AG22" t="b">
        <v>0</v>
      </c>
      <c r="AH22" t="s">
        <v>73</v>
      </c>
      <c r="AI22" t="s">
        <v>80</v>
      </c>
      <c r="AJ22" t="s">
        <v>82</v>
      </c>
      <c r="AK22" t="s">
        <v>93</v>
      </c>
      <c r="AL22">
        <v>1</v>
      </c>
      <c r="AM22">
        <v>0.25</v>
      </c>
      <c r="AN22" t="s">
        <v>83</v>
      </c>
      <c r="AO22" t="s">
        <v>84</v>
      </c>
      <c r="AP22" t="s">
        <v>85</v>
      </c>
      <c r="AQ22" s="1">
        <v>45839</v>
      </c>
      <c r="AR22" s="1">
        <v>45839</v>
      </c>
      <c r="AS22" t="s">
        <v>87</v>
      </c>
      <c r="AT22" t="s">
        <v>87</v>
      </c>
      <c r="AU22" t="s">
        <v>87</v>
      </c>
      <c r="AV22" t="s">
        <v>87</v>
      </c>
      <c r="AW22" t="s">
        <v>87</v>
      </c>
      <c r="AX22" t="s">
        <v>87</v>
      </c>
      <c r="AY22" t="s">
        <v>88</v>
      </c>
      <c r="AZ22">
        <v>5</v>
      </c>
      <c r="BA22" cm="1">
        <f t="array" ref="BA22">_xlfn.IFS(AND(AB22 = "N", AA22 = "N", AF22 &lt;&gt; "Concentrated", AC22 = "N",H22="MARGIN_LOAN"), 10,
AND(AB22 = "N", AA22 = "N", AF22 &lt;&gt; "Concentrated", AC22 = "N",H22="SFT"), 5,
AND(AB22 = "N", AA22 = "N", AF22 &lt;&gt; "Concentrated", AC22 = "Y",H22="MARGIN_LOAN"), 20,
AND(AB22 = "N", AA22 = "N", AF22 &lt;&gt; "Concentrated", AC22 = "Y",H22="SFT"), 10,
AND(AB22 = "Y", AA22 = "N", AF22 &lt;&gt; "Concentrated", AC22 = "N"), 20,
AND(AB22 = "Y", AA22 = "N", AF22 &lt;&gt; "Concentrated", AC22 = "Y"), 40,
AND(AB22 = "N",  OR(AA22 = "Y", AF22 = "Concentrated"), AC22 = "N"), 20,
AND(AB22 = "N",  OR(AA22 = "Y", AF22 = "Concentrated"), AC22 = "Y"), 40,
AND(AB22 = "Y",  OR(AA22 = "Y", AF22 = "Concentrated"), AC22 = "N"), 20,
AND(AB22 = "Y",  OR(AA22 = "Y", AF22 = "Concentrated"), AC22 = "Y"), 40)</f>
        <v>20</v>
      </c>
      <c r="BB22">
        <f t="shared" si="0"/>
        <v>20</v>
      </c>
      <c r="BC22">
        <f t="shared" si="5"/>
        <v>5</v>
      </c>
      <c r="BD22">
        <f t="shared" si="1"/>
        <v>5</v>
      </c>
      <c r="BE22">
        <v>5</v>
      </c>
      <c r="BF22">
        <v>1</v>
      </c>
      <c r="BG22" t="str">
        <f t="shared" si="3"/>
        <v>SCENARIO</v>
      </c>
      <c r="BH22" t="s">
        <v>89</v>
      </c>
      <c r="BI22" t="b">
        <v>1</v>
      </c>
      <c r="BJ22">
        <v>1</v>
      </c>
      <c r="BK22">
        <v>1</v>
      </c>
      <c r="BL22" t="s">
        <v>87</v>
      </c>
      <c r="BM22" t="s">
        <v>87</v>
      </c>
      <c r="BN22">
        <v>1000</v>
      </c>
      <c r="BP22" s="3">
        <v>2316444.551</v>
      </c>
      <c r="BQ22">
        <v>5</v>
      </c>
      <c r="BR22">
        <v>20</v>
      </c>
      <c r="BS22">
        <v>100000004</v>
      </c>
      <c r="BT22" t="s">
        <v>119</v>
      </c>
    </row>
    <row r="23" spans="1:72" x14ac:dyDescent="0.35">
      <c r="A23" s="1">
        <v>45838</v>
      </c>
      <c r="B23" t="s">
        <v>72</v>
      </c>
      <c r="C23">
        <v>12</v>
      </c>
      <c r="D23">
        <v>100000001</v>
      </c>
      <c r="E23">
        <v>4</v>
      </c>
      <c r="F23">
        <v>4</v>
      </c>
      <c r="G23" t="s">
        <v>73</v>
      </c>
      <c r="H23" t="s">
        <v>117</v>
      </c>
      <c r="I23">
        <v>15</v>
      </c>
      <c r="J23">
        <v>163186</v>
      </c>
      <c r="K23">
        <v>98026341</v>
      </c>
      <c r="L23" t="s">
        <v>75</v>
      </c>
      <c r="M23">
        <v>1</v>
      </c>
      <c r="N23">
        <v>2</v>
      </c>
      <c r="O23">
        <v>1</v>
      </c>
      <c r="P23">
        <v>2</v>
      </c>
      <c r="Q23">
        <v>5</v>
      </c>
      <c r="R23">
        <v>0</v>
      </c>
      <c r="S23">
        <v>5</v>
      </c>
      <c r="T23" t="s">
        <v>76</v>
      </c>
      <c r="U23" t="s">
        <v>77</v>
      </c>
      <c r="V23" t="s">
        <v>122</v>
      </c>
      <c r="W23" t="s">
        <v>122</v>
      </c>
      <c r="X23" t="s">
        <v>79</v>
      </c>
      <c r="Y23" t="s">
        <v>80</v>
      </c>
      <c r="Z23" t="s">
        <v>73</v>
      </c>
      <c r="AA23" t="s">
        <v>80</v>
      </c>
      <c r="AB23" t="s">
        <v>80</v>
      </c>
      <c r="AC23" t="s">
        <v>80</v>
      </c>
      <c r="AD23" t="s">
        <v>73</v>
      </c>
      <c r="AE23" t="s">
        <v>73</v>
      </c>
      <c r="AF23" t="s">
        <v>81</v>
      </c>
      <c r="AG23" t="b">
        <v>0</v>
      </c>
      <c r="AH23" t="s">
        <v>73</v>
      </c>
      <c r="AI23" t="s">
        <v>80</v>
      </c>
      <c r="AJ23" t="s">
        <v>82</v>
      </c>
      <c r="AL23">
        <v>1</v>
      </c>
      <c r="AM23">
        <v>0.25</v>
      </c>
      <c r="AN23" t="s">
        <v>83</v>
      </c>
      <c r="AO23" t="s">
        <v>84</v>
      </c>
      <c r="AP23" t="s">
        <v>85</v>
      </c>
      <c r="AQ23" s="1">
        <v>45839</v>
      </c>
      <c r="AR23" s="1">
        <v>45839</v>
      </c>
      <c r="AS23" t="s">
        <v>87</v>
      </c>
      <c r="AT23" t="s">
        <v>87</v>
      </c>
      <c r="AV23" t="s">
        <v>87</v>
      </c>
      <c r="AW23" t="s">
        <v>87</v>
      </c>
      <c r="AX23" t="s">
        <v>87</v>
      </c>
      <c r="AY23" t="s">
        <v>88</v>
      </c>
      <c r="AZ23">
        <v>5</v>
      </c>
      <c r="BA23" cm="1">
        <f t="array" ref="BA23">_xlfn.IFS(AND(AB23 = "N", AA23 = "N", AF23 &lt;&gt; "Concentrated", AC23 = "N",H23="MARGIN_LOAN"), 10,
AND(AB23 = "N", AA23 = "N", AF23 &lt;&gt; "Concentrated", AC23 = "N",H23="SFT"), 5,
AND(AB23 = "N", AA23 = "N", AF23 &lt;&gt; "Concentrated", AC23 = "Y",H23="MARGIN_LOAN"), 20,
AND(AB23 = "N", AA23 = "N", AF23 &lt;&gt; "Concentrated", AC23 = "Y",H23="SFT"), 10,
AND(AB23 = "Y", AA23 = "N", AF23 &lt;&gt; "Concentrated", AC23 = "N"), 20,
AND(AB23 = "Y", AA23 = "N", AF23 &lt;&gt; "Concentrated", AC23 = "Y"), 40,
AND(AB23 = "N",  OR(AA23 = "Y", AF23 = "Concentrated"), AC23 = "N"), 20,
AND(AB23 = "N",  OR(AA23 = "Y", AF23 = "Concentrated"), AC23 = "Y"), 40,
AND(AB23 = "Y",  OR(AA23 = "Y", AF23 = "Concentrated"), AC23 = "N"), 20,
AND(AB23 = "Y",  OR(AA23 = "Y", AF23 = "Concentrated"), AC23 = "Y"), 40)</f>
        <v>20</v>
      </c>
      <c r="BB23">
        <f t="shared" si="0"/>
        <v>20</v>
      </c>
      <c r="BC23">
        <f t="shared" si="5"/>
        <v>5</v>
      </c>
      <c r="BD23">
        <f t="shared" si="1"/>
        <v>5</v>
      </c>
      <c r="BE23">
        <v>5</v>
      </c>
      <c r="BF23">
        <v>1</v>
      </c>
      <c r="BG23" t="str">
        <f t="shared" si="3"/>
        <v>SCENARIO</v>
      </c>
      <c r="BH23" t="s">
        <v>89</v>
      </c>
      <c r="BI23" t="b">
        <v>1</v>
      </c>
      <c r="BJ23">
        <v>1</v>
      </c>
      <c r="BK23">
        <v>1</v>
      </c>
      <c r="BM23" t="s">
        <v>87</v>
      </c>
      <c r="BN23">
        <v>20000</v>
      </c>
      <c r="BP23" s="3">
        <v>1584495.36</v>
      </c>
      <c r="BQ23">
        <v>5</v>
      </c>
      <c r="BR23">
        <v>20</v>
      </c>
      <c r="BS23">
        <v>100000004</v>
      </c>
      <c r="BT23" t="s">
        <v>119</v>
      </c>
    </row>
    <row r="24" spans="1:72" x14ac:dyDescent="0.35">
      <c r="A24" s="1">
        <v>45838</v>
      </c>
      <c r="B24" t="s">
        <v>72</v>
      </c>
      <c r="C24">
        <v>12</v>
      </c>
      <c r="D24">
        <v>100000001</v>
      </c>
      <c r="E24">
        <v>4</v>
      </c>
      <c r="F24">
        <v>4</v>
      </c>
      <c r="G24" t="s">
        <v>73</v>
      </c>
      <c r="H24" t="s">
        <v>117</v>
      </c>
      <c r="I24">
        <v>1</v>
      </c>
      <c r="J24">
        <v>163186</v>
      </c>
      <c r="K24">
        <v>81371583</v>
      </c>
      <c r="L24" t="s">
        <v>75</v>
      </c>
      <c r="M24">
        <v>1</v>
      </c>
      <c r="N24">
        <v>2</v>
      </c>
      <c r="O24">
        <v>1</v>
      </c>
      <c r="P24">
        <v>2</v>
      </c>
      <c r="Q24">
        <v>5</v>
      </c>
      <c r="R24">
        <v>0</v>
      </c>
      <c r="S24">
        <v>40</v>
      </c>
      <c r="T24" t="s">
        <v>76</v>
      </c>
      <c r="U24" t="s">
        <v>77</v>
      </c>
      <c r="V24" t="s">
        <v>123</v>
      </c>
      <c r="W24" t="s">
        <v>123</v>
      </c>
      <c r="X24" t="s">
        <v>79</v>
      </c>
      <c r="Y24" t="s">
        <v>80</v>
      </c>
      <c r="Z24" t="s">
        <v>73</v>
      </c>
      <c r="AA24" t="s">
        <v>73</v>
      </c>
      <c r="AB24" t="s">
        <v>80</v>
      </c>
      <c r="AC24" t="s">
        <v>80</v>
      </c>
      <c r="AD24" t="s">
        <v>73</v>
      </c>
      <c r="AE24" t="s">
        <v>73</v>
      </c>
      <c r="AF24" t="s">
        <v>81</v>
      </c>
      <c r="AG24" t="b">
        <v>0</v>
      </c>
      <c r="AH24" t="s">
        <v>73</v>
      </c>
      <c r="AI24" t="s">
        <v>80</v>
      </c>
      <c r="AJ24" t="s">
        <v>82</v>
      </c>
      <c r="AL24">
        <v>1</v>
      </c>
      <c r="AM24">
        <v>0.25</v>
      </c>
      <c r="AN24" t="s">
        <v>83</v>
      </c>
      <c r="AO24" t="s">
        <v>84</v>
      </c>
      <c r="AP24" t="s">
        <v>85</v>
      </c>
      <c r="AQ24" s="1">
        <v>45839</v>
      </c>
      <c r="AR24" s="1">
        <v>45839</v>
      </c>
      <c r="AS24" t="s">
        <v>87</v>
      </c>
      <c r="AT24" t="s">
        <v>87</v>
      </c>
      <c r="AU24" t="s">
        <v>87</v>
      </c>
      <c r="AV24" t="s">
        <v>87</v>
      </c>
      <c r="AW24" t="s">
        <v>87</v>
      </c>
      <c r="AX24" t="s">
        <v>87</v>
      </c>
      <c r="AY24" t="s">
        <v>88</v>
      </c>
      <c r="AZ24">
        <v>5</v>
      </c>
      <c r="BA24" cm="1">
        <f t="array" ref="BA24">_xlfn.IFS(AND(AB24 = "N", AA24 = "N", AF24 &lt;&gt; "Concentrated", AC24 = "N",H24="MARGIN_LOAN"), 10,
AND(AB24 = "N", AA24 = "N", AF24 &lt;&gt; "Concentrated", AC24 = "N",H24="SFT"), 5,
AND(AB24 = "N", AA24 = "N", AF24 &lt;&gt; "Concentrated", AC24 = "Y",H24="MARGIN_LOAN"), 20,
AND(AB24 = "N", AA24 = "N", AF24 &lt;&gt; "Concentrated", AC24 = "Y",H24="SFT"), 10,
AND(AB24 = "Y", AA24 = "N", AF24 &lt;&gt; "Concentrated", AC24 = "N"), 20,
AND(AB24 = "Y", AA24 = "N", AF24 &lt;&gt; "Concentrated", AC24 = "Y"), 40,
AND(AB24 = "N",  OR(AA24 = "Y", AF24 = "Concentrated"), AC24 = "N"), 20,
AND(AB24 = "N",  OR(AA24 = "Y", AF24 = "Concentrated"), AC24 = "Y"), 40,
AND(AB24 = "Y",  OR(AA24 = "Y", AF24 = "Concentrated"), AC24 = "N"), 20,
AND(AB24 = "Y",  OR(AA24 = "Y", AF24 = "Concentrated"), AC24 = "Y"), 40)</f>
        <v>20</v>
      </c>
      <c r="BB24">
        <f t="shared" si="0"/>
        <v>20</v>
      </c>
      <c r="BC24">
        <f t="shared" si="5"/>
        <v>5</v>
      </c>
      <c r="BD24">
        <f t="shared" si="1"/>
        <v>5</v>
      </c>
      <c r="BE24">
        <v>5</v>
      </c>
      <c r="BF24">
        <v>1</v>
      </c>
      <c r="BG24" t="str">
        <f t="shared" si="3"/>
        <v>SCENARIO</v>
      </c>
      <c r="BH24" t="s">
        <v>89</v>
      </c>
      <c r="BI24" t="b">
        <v>1</v>
      </c>
      <c r="BJ24">
        <v>0</v>
      </c>
      <c r="BK24">
        <v>1</v>
      </c>
      <c r="BL24" t="s">
        <v>87</v>
      </c>
      <c r="BM24" t="s">
        <v>87</v>
      </c>
      <c r="BN24">
        <v>20000</v>
      </c>
      <c r="BP24" s="3">
        <v>127622.9662</v>
      </c>
      <c r="BQ24">
        <v>5</v>
      </c>
      <c r="BR24">
        <v>20</v>
      </c>
      <c r="BS24">
        <v>100000004</v>
      </c>
      <c r="BT24" t="s">
        <v>119</v>
      </c>
    </row>
    <row r="25" spans="1:72" x14ac:dyDescent="0.35">
      <c r="A25" s="1">
        <v>45838</v>
      </c>
      <c r="B25" t="s">
        <v>72</v>
      </c>
      <c r="C25">
        <v>12</v>
      </c>
      <c r="D25">
        <v>100000005</v>
      </c>
      <c r="E25">
        <v>5</v>
      </c>
      <c r="F25">
        <v>5</v>
      </c>
      <c r="G25" t="s">
        <v>73</v>
      </c>
      <c r="H25" t="s">
        <v>117</v>
      </c>
      <c r="I25">
        <v>1</v>
      </c>
      <c r="J25">
        <v>163186</v>
      </c>
      <c r="K25">
        <v>34185972</v>
      </c>
      <c r="L25" t="s">
        <v>75</v>
      </c>
      <c r="M25">
        <v>1</v>
      </c>
      <c r="N25">
        <v>2</v>
      </c>
      <c r="O25">
        <v>1</v>
      </c>
      <c r="P25">
        <v>2</v>
      </c>
      <c r="Q25">
        <v>40</v>
      </c>
      <c r="R25">
        <v>20</v>
      </c>
      <c r="S25">
        <v>40</v>
      </c>
      <c r="T25" t="s">
        <v>124</v>
      </c>
      <c r="U25" t="s">
        <v>77</v>
      </c>
      <c r="V25" t="s">
        <v>125</v>
      </c>
      <c r="W25" t="s">
        <v>125</v>
      </c>
      <c r="X25" t="s">
        <v>79</v>
      </c>
      <c r="Y25" t="s">
        <v>80</v>
      </c>
      <c r="Z25" t="s">
        <v>80</v>
      </c>
      <c r="AA25" s="2" t="s">
        <v>80</v>
      </c>
      <c r="AB25" t="s">
        <v>80</v>
      </c>
      <c r="AC25" t="s">
        <v>80</v>
      </c>
      <c r="AD25" t="s">
        <v>73</v>
      </c>
      <c r="AE25" t="s">
        <v>80</v>
      </c>
      <c r="AF25" t="s">
        <v>81</v>
      </c>
      <c r="AG25" t="b">
        <v>0</v>
      </c>
      <c r="AH25" t="s">
        <v>73</v>
      </c>
      <c r="AI25" t="s">
        <v>80</v>
      </c>
      <c r="AJ25" t="s">
        <v>82</v>
      </c>
      <c r="AL25">
        <v>1</v>
      </c>
      <c r="AM25">
        <v>0.25</v>
      </c>
      <c r="AN25" t="s">
        <v>98</v>
      </c>
      <c r="AO25" t="s">
        <v>126</v>
      </c>
      <c r="AP25" t="s">
        <v>85</v>
      </c>
      <c r="AQ25" s="1">
        <v>47772</v>
      </c>
      <c r="AR25" s="1">
        <v>47772</v>
      </c>
      <c r="AS25" t="s">
        <v>87</v>
      </c>
      <c r="AT25" t="s">
        <v>87</v>
      </c>
      <c r="AU25" t="s">
        <v>87</v>
      </c>
      <c r="AV25" t="s">
        <v>87</v>
      </c>
      <c r="AW25" t="s">
        <v>87</v>
      </c>
      <c r="AX25" t="s">
        <v>87</v>
      </c>
      <c r="AY25" t="s">
        <v>88</v>
      </c>
      <c r="AZ25">
        <v>40</v>
      </c>
      <c r="BA25" cm="1">
        <f t="array" ref="BA25">_xlfn.IFS(AND(AB25 = "N", AA25 = "N", AF25 &lt;&gt; "Concentrated", AC25 = "N",H25="MARGIN_LOAN"), 10,
AND(AB25 = "N", AA25 = "N", AF25 &lt;&gt; "Concentrated", AC25 = "N",H25="SFT"), 5,
AND(AB25 = "N", AA25 = "N", AF25 &lt;&gt; "Concentrated", AC25 = "Y",H25="MARGIN_LOAN"), 20,
AND(AB25 = "N", AA25 = "N", AF25 &lt;&gt; "Concentrated", AC25 = "Y",H25="SFT"), 10,
AND(AB25 = "Y", AA25 = "N", AF25 &lt;&gt; "Concentrated", AC25 = "N"), 20,
AND(AB25 = "Y", AA25 = "N", AF25 &lt;&gt; "Concentrated", AC25 = "Y"), 40,
AND(AB25 = "N",  OR(AA25 = "Y", AF25 = "Concentrated"), AC25 = "N"), 20,
AND(AB25 = "N",  OR(AA25 = "Y", AF25 = "Concentrated"), AC25 = "Y"), 40,
AND(AB25 = "Y",  OR(AA25 = "Y", AF25 = "Concentrated"), AC25 = "N"), 20,
AND(AB25 = "Y",  OR(AA25 = "Y", AF25 = "Concentrated"), AC25 = "Y"), 40)</f>
        <v>20</v>
      </c>
      <c r="BB25">
        <f t="shared" si="0"/>
        <v>20</v>
      </c>
      <c r="BC25">
        <f t="shared" si="5"/>
        <v>5</v>
      </c>
      <c r="BD25">
        <f t="shared" si="1"/>
        <v>5</v>
      </c>
      <c r="BE25">
        <v>40</v>
      </c>
      <c r="BF25">
        <v>1</v>
      </c>
      <c r="BG25" t="str">
        <f t="shared" si="3"/>
        <v>SCENARIO</v>
      </c>
      <c r="BH25" t="s">
        <v>110</v>
      </c>
      <c r="BI25" t="b">
        <v>1</v>
      </c>
      <c r="BJ25">
        <v>0</v>
      </c>
      <c r="BK25">
        <v>1</v>
      </c>
      <c r="BL25" t="s">
        <v>87</v>
      </c>
      <c r="BM25" t="s">
        <v>87</v>
      </c>
      <c r="BN25">
        <v>243134</v>
      </c>
      <c r="BO25">
        <v>1807645.81</v>
      </c>
      <c r="BP25" s="3">
        <v>2093791.94</v>
      </c>
      <c r="BQ25">
        <v>5</v>
      </c>
      <c r="BR25">
        <v>40</v>
      </c>
      <c r="BS25">
        <v>100000005</v>
      </c>
      <c r="BT25" t="s">
        <v>127</v>
      </c>
    </row>
    <row r="26" spans="1:72" x14ac:dyDescent="0.35">
      <c r="A26" s="1">
        <v>45838</v>
      </c>
      <c r="B26" t="s">
        <v>72</v>
      </c>
      <c r="C26">
        <v>12</v>
      </c>
      <c r="D26">
        <v>100000005</v>
      </c>
      <c r="E26">
        <v>5</v>
      </c>
      <c r="F26">
        <v>5</v>
      </c>
      <c r="G26" t="s">
        <v>73</v>
      </c>
      <c r="H26" t="s">
        <v>117</v>
      </c>
      <c r="I26">
        <v>1</v>
      </c>
      <c r="J26">
        <v>163186</v>
      </c>
      <c r="K26">
        <v>65720439</v>
      </c>
      <c r="L26" t="s">
        <v>75</v>
      </c>
      <c r="M26">
        <v>1</v>
      </c>
      <c r="N26">
        <v>2</v>
      </c>
      <c r="O26">
        <v>1</v>
      </c>
      <c r="P26">
        <v>2</v>
      </c>
      <c r="Q26">
        <v>40</v>
      </c>
      <c r="R26">
        <v>20</v>
      </c>
      <c r="S26">
        <v>40</v>
      </c>
      <c r="T26" t="s">
        <v>124</v>
      </c>
      <c r="U26" t="s">
        <v>77</v>
      </c>
      <c r="V26" t="s">
        <v>128</v>
      </c>
      <c r="W26" t="s">
        <v>128</v>
      </c>
      <c r="X26" t="s">
        <v>79</v>
      </c>
      <c r="Y26" t="s">
        <v>80</v>
      </c>
      <c r="Z26" t="s">
        <v>80</v>
      </c>
      <c r="AA26" t="s">
        <v>73</v>
      </c>
      <c r="AB26" t="s">
        <v>80</v>
      </c>
      <c r="AC26" t="s">
        <v>80</v>
      </c>
      <c r="AD26" t="s">
        <v>73</v>
      </c>
      <c r="AE26" t="s">
        <v>80</v>
      </c>
      <c r="AF26" t="s">
        <v>81</v>
      </c>
      <c r="AG26" t="b">
        <v>0</v>
      </c>
      <c r="AH26" t="s">
        <v>73</v>
      </c>
      <c r="AI26" t="s">
        <v>80</v>
      </c>
      <c r="AJ26" t="s">
        <v>82</v>
      </c>
      <c r="AL26">
        <v>1</v>
      </c>
      <c r="AM26">
        <v>0.25</v>
      </c>
      <c r="AN26" t="s">
        <v>83</v>
      </c>
      <c r="AO26" t="s">
        <v>126</v>
      </c>
      <c r="AP26" t="s">
        <v>85</v>
      </c>
      <c r="AQ26" s="1">
        <v>47864</v>
      </c>
      <c r="AR26" s="1">
        <v>47864</v>
      </c>
      <c r="AS26" t="s">
        <v>87</v>
      </c>
      <c r="AT26" t="s">
        <v>87</v>
      </c>
      <c r="AU26" t="s">
        <v>87</v>
      </c>
      <c r="AV26" t="s">
        <v>87</v>
      </c>
      <c r="AW26" t="s">
        <v>87</v>
      </c>
      <c r="AX26" t="s">
        <v>87</v>
      </c>
      <c r="AY26" t="s">
        <v>88</v>
      </c>
      <c r="AZ26">
        <v>40</v>
      </c>
      <c r="BA26" cm="1">
        <f t="array" ref="BA26">_xlfn.IFS(AND(AB26 = "N", AA26 = "N", AF26 &lt;&gt; "Concentrated", AC26 = "N",H26="MARGIN_LOAN"), 10,
AND(AB26 = "N", AA26 = "N", AF26 &lt;&gt; "Concentrated", AC26 = "N",H26="SFT"), 5,
AND(AB26 = "N", AA26 = "N", AF26 &lt;&gt; "Concentrated", AC26 = "Y",H26="MARGIN_LOAN"), 20,
AND(AB26 = "N", AA26 = "N", AF26 &lt;&gt; "Concentrated", AC26 = "Y",H26="SFT"), 10,
AND(AB26 = "Y", AA26 = "N", AF26 &lt;&gt; "Concentrated", AC26 = "N"), 20,
AND(AB26 = "Y", AA26 = "N", AF26 &lt;&gt; "Concentrated", AC26 = "Y"), 40,
AND(AB26 = "N",  OR(AA26 = "Y", AF26 = "Concentrated"), AC26 = "N"), 20,
AND(AB26 = "N",  OR(AA26 = "Y", AF26 = "Concentrated"), AC26 = "Y"), 40,
AND(AB26 = "Y",  OR(AA26 = "Y", AF26 = "Concentrated"), AC26 = "N"), 20,
AND(AB26 = "Y",  OR(AA26 = "Y", AF26 = "Concentrated"), AC26 = "Y"), 40)</f>
        <v>20</v>
      </c>
      <c r="BB26">
        <f t="shared" si="0"/>
        <v>20</v>
      </c>
      <c r="BC26">
        <f t="shared" si="5"/>
        <v>5</v>
      </c>
      <c r="BD26">
        <f t="shared" si="1"/>
        <v>5</v>
      </c>
      <c r="BE26">
        <v>40</v>
      </c>
      <c r="BF26">
        <v>1</v>
      </c>
      <c r="BG26" t="str">
        <f t="shared" si="3"/>
        <v>SCENARIO</v>
      </c>
      <c r="BH26" t="s">
        <v>110</v>
      </c>
      <c r="BI26" t="b">
        <v>1</v>
      </c>
      <c r="BJ26">
        <v>0</v>
      </c>
      <c r="BK26">
        <v>1</v>
      </c>
      <c r="BL26" t="s">
        <v>87</v>
      </c>
      <c r="BM26" t="s">
        <v>87</v>
      </c>
      <c r="BN26">
        <v>18000</v>
      </c>
      <c r="BO26">
        <v>19151760.59</v>
      </c>
      <c r="BP26" s="3">
        <v>17000000</v>
      </c>
      <c r="BQ26">
        <v>5</v>
      </c>
      <c r="BR26">
        <v>40</v>
      </c>
      <c r="BS26">
        <v>100000005</v>
      </c>
      <c r="BT26" t="s">
        <v>127</v>
      </c>
    </row>
    <row r="27" spans="1:72" x14ac:dyDescent="0.35">
      <c r="A27" s="1">
        <v>45838</v>
      </c>
      <c r="B27" t="s">
        <v>72</v>
      </c>
      <c r="C27">
        <v>12</v>
      </c>
      <c r="D27">
        <v>100000005</v>
      </c>
      <c r="E27">
        <v>5</v>
      </c>
      <c r="F27">
        <v>5</v>
      </c>
      <c r="G27" t="s">
        <v>73</v>
      </c>
      <c r="H27" t="s">
        <v>117</v>
      </c>
      <c r="I27">
        <v>1</v>
      </c>
      <c r="J27">
        <v>163186</v>
      </c>
      <c r="K27">
        <v>39684175</v>
      </c>
      <c r="L27" t="s">
        <v>75</v>
      </c>
      <c r="M27">
        <v>1</v>
      </c>
      <c r="N27">
        <v>2</v>
      </c>
      <c r="O27">
        <v>1</v>
      </c>
      <c r="P27">
        <v>2</v>
      </c>
      <c r="Q27">
        <v>20</v>
      </c>
      <c r="R27">
        <v>20</v>
      </c>
      <c r="S27">
        <v>20</v>
      </c>
      <c r="T27" t="s">
        <v>129</v>
      </c>
      <c r="U27" t="s">
        <v>77</v>
      </c>
      <c r="V27" t="s">
        <v>130</v>
      </c>
      <c r="W27" t="s">
        <v>130</v>
      </c>
      <c r="X27" t="s">
        <v>79</v>
      </c>
      <c r="Y27" t="s">
        <v>80</v>
      </c>
      <c r="Z27" t="s">
        <v>80</v>
      </c>
      <c r="AA27" t="s">
        <v>73</v>
      </c>
      <c r="AB27" t="s">
        <v>80</v>
      </c>
      <c r="AC27" t="s">
        <v>80</v>
      </c>
      <c r="AD27" t="s">
        <v>73</v>
      </c>
      <c r="AE27" t="s">
        <v>80</v>
      </c>
      <c r="AF27" t="s">
        <v>81</v>
      </c>
      <c r="AG27" t="b">
        <v>0</v>
      </c>
      <c r="AH27" t="s">
        <v>73</v>
      </c>
      <c r="AI27" t="s">
        <v>80</v>
      </c>
      <c r="AJ27" t="s">
        <v>82</v>
      </c>
      <c r="AL27">
        <v>1</v>
      </c>
      <c r="AM27">
        <v>0.24</v>
      </c>
      <c r="AN27" t="s">
        <v>83</v>
      </c>
      <c r="AO27" t="s">
        <v>131</v>
      </c>
      <c r="AP27" t="s">
        <v>85</v>
      </c>
      <c r="AQ27" s="1">
        <v>11247</v>
      </c>
      <c r="AR27" s="1">
        <v>11247</v>
      </c>
      <c r="AS27" t="s">
        <v>87</v>
      </c>
      <c r="AT27" t="s">
        <v>87</v>
      </c>
      <c r="AU27" t="s">
        <v>87</v>
      </c>
      <c r="AV27" t="s">
        <v>87</v>
      </c>
      <c r="AW27" t="s">
        <v>87</v>
      </c>
      <c r="AX27" t="s">
        <v>87</v>
      </c>
      <c r="AY27" t="s">
        <v>88</v>
      </c>
      <c r="AZ27">
        <v>20</v>
      </c>
      <c r="BA27" cm="1">
        <f t="array" ref="BA27">_xlfn.IFS(AND(AB27 = "N", AA27 = "N", AF27 &lt;&gt; "Concentrated", AC27 = "N",H27="MARGIN_LOAN"), 10,
AND(AB27 = "N", AA27 = "N", AF27 &lt;&gt; "Concentrated", AC27 = "N",H27="SFT"), 5,
AND(AB27 = "N", AA27 = "N", AF27 &lt;&gt; "Concentrated", AC27 = "Y",H27="MARGIN_LOAN"), 20,
AND(AB27 = "N", AA27 = "N", AF27 &lt;&gt; "Concentrated", AC27 = "Y",H27="SFT"), 10,
AND(AB27 = "Y", AA27 = "N", AF27 &lt;&gt; "Concentrated", AC27 = "N"), 20,
AND(AB27 = "Y", AA27 = "N", AF27 &lt;&gt; "Concentrated", AC27 = "Y"), 40,
AND(AB27 = "N",  OR(AA27 = "Y", AF27 = "Concentrated"), AC27 = "N"), 20,
AND(AB27 = "N",  OR(AA27 = "Y", AF27 = "Concentrated"), AC27 = "Y"), 40,
AND(AB27 = "Y",  OR(AA27 = "Y", AF27 = "Concentrated"), AC27 = "N"), 20,
AND(AB27 = "Y",  OR(AA27 = "Y", AF27 = "Concentrated"), AC27 = "Y"), 40)</f>
        <v>20</v>
      </c>
      <c r="BB27">
        <f t="shared" si="0"/>
        <v>20</v>
      </c>
      <c r="BC27">
        <f t="shared" si="5"/>
        <v>5</v>
      </c>
      <c r="BD27">
        <f t="shared" si="1"/>
        <v>5</v>
      </c>
      <c r="BE27">
        <v>20</v>
      </c>
      <c r="BF27">
        <v>1</v>
      </c>
      <c r="BG27" t="str">
        <f t="shared" si="3"/>
        <v>SCENARIO</v>
      </c>
      <c r="BH27" t="s">
        <v>110</v>
      </c>
      <c r="BI27" t="b">
        <v>1</v>
      </c>
      <c r="BJ27">
        <v>0</v>
      </c>
      <c r="BK27">
        <v>1</v>
      </c>
      <c r="BL27" t="s">
        <v>87</v>
      </c>
      <c r="BM27" t="s">
        <v>87</v>
      </c>
      <c r="BN27">
        <v>7000</v>
      </c>
      <c r="BO27">
        <v>31485709.75</v>
      </c>
      <c r="BP27" s="3">
        <v>29468459.190000001</v>
      </c>
      <c r="BQ27">
        <v>5</v>
      </c>
      <c r="BR27">
        <v>20</v>
      </c>
      <c r="BS27">
        <v>100000005</v>
      </c>
      <c r="BT27" t="s">
        <v>127</v>
      </c>
    </row>
    <row r="28" spans="1:72" x14ac:dyDescent="0.35">
      <c r="A28" s="1">
        <v>45838</v>
      </c>
      <c r="B28" t="s">
        <v>72</v>
      </c>
      <c r="C28">
        <v>12</v>
      </c>
      <c r="D28">
        <v>100000005</v>
      </c>
      <c r="E28">
        <v>5</v>
      </c>
      <c r="F28">
        <v>5</v>
      </c>
      <c r="G28" t="s">
        <v>73</v>
      </c>
      <c r="H28" t="s">
        <v>117</v>
      </c>
      <c r="I28">
        <v>1</v>
      </c>
      <c r="J28">
        <v>163186</v>
      </c>
      <c r="K28">
        <v>52319084</v>
      </c>
      <c r="L28" t="s">
        <v>75</v>
      </c>
      <c r="M28">
        <v>1</v>
      </c>
      <c r="N28">
        <v>2</v>
      </c>
      <c r="O28">
        <v>1</v>
      </c>
      <c r="P28">
        <v>2</v>
      </c>
      <c r="Q28">
        <v>20</v>
      </c>
      <c r="R28">
        <v>5</v>
      </c>
      <c r="S28">
        <v>20</v>
      </c>
      <c r="T28" t="s">
        <v>129</v>
      </c>
      <c r="U28" t="s">
        <v>77</v>
      </c>
      <c r="V28" t="s">
        <v>132</v>
      </c>
      <c r="W28" t="s">
        <v>132</v>
      </c>
      <c r="X28" t="s">
        <v>79</v>
      </c>
      <c r="Y28" t="s">
        <v>80</v>
      </c>
      <c r="Z28" t="s">
        <v>80</v>
      </c>
      <c r="AA28" t="s">
        <v>80</v>
      </c>
      <c r="AB28" t="s">
        <v>80</v>
      </c>
      <c r="AC28" t="s">
        <v>80</v>
      </c>
      <c r="AD28" t="s">
        <v>73</v>
      </c>
      <c r="AE28" t="s">
        <v>80</v>
      </c>
      <c r="AF28" t="s">
        <v>81</v>
      </c>
      <c r="AG28" t="b">
        <v>0</v>
      </c>
      <c r="AH28" t="s">
        <v>73</v>
      </c>
      <c r="AI28" t="s">
        <v>80</v>
      </c>
      <c r="AJ28" t="s">
        <v>82</v>
      </c>
      <c r="AL28">
        <v>1</v>
      </c>
      <c r="AM28">
        <v>0.24</v>
      </c>
      <c r="AN28" t="s">
        <v>83</v>
      </c>
      <c r="AO28" t="s">
        <v>131</v>
      </c>
      <c r="AP28" t="s">
        <v>85</v>
      </c>
      <c r="AQ28" s="1">
        <v>47589</v>
      </c>
      <c r="AR28" s="1">
        <v>47589</v>
      </c>
      <c r="AS28" t="s">
        <v>87</v>
      </c>
      <c r="AT28" t="s">
        <v>87</v>
      </c>
      <c r="AU28" t="s">
        <v>87</v>
      </c>
      <c r="AV28" t="s">
        <v>87</v>
      </c>
      <c r="AW28" t="s">
        <v>87</v>
      </c>
      <c r="AX28" t="s">
        <v>87</v>
      </c>
      <c r="AY28" t="s">
        <v>94</v>
      </c>
      <c r="AZ28">
        <v>20</v>
      </c>
      <c r="BA28" cm="1">
        <f t="array" ref="BA28">_xlfn.IFS(AND(AB28 = "N", AA28 = "N", AF28 &lt;&gt; "Concentrated", AC28 = "N",H28="MARGIN_LOAN"), 10,
AND(AB28 = "N", AA28 = "N", AF28 &lt;&gt; "Concentrated", AC28 = "N",H28="SFT"), 5,
AND(AB28 = "N", AA28 = "N", AF28 &lt;&gt; "Concentrated", AC28 = "Y",H28="MARGIN_LOAN"), 20,
AND(AB28 = "N", AA28 = "N", AF28 &lt;&gt; "Concentrated", AC28 = "Y",H28="SFT"), 10,
AND(AB28 = "Y", AA28 = "N", AF28 &lt;&gt; "Concentrated", AC28 = "N"), 20,
AND(AB28 = "Y", AA28 = "N", AF28 &lt;&gt; "Concentrated", AC28 = "Y"), 40,
AND(AB28 = "N",  OR(AA28 = "Y", AF28 = "Concentrated"), AC28 = "N"), 20,
AND(AB28 = "N",  OR(AA28 = "Y", AF28 = "Concentrated"), AC28 = "Y"), 40,
AND(AB28 = "Y",  OR(AA28 = "Y", AF28 = "Concentrated"), AC28 = "N"), 20,
AND(AB28 = "Y",  OR(AA28 = "Y", AF28 = "Concentrated"), AC28 = "Y"), 40)</f>
        <v>20</v>
      </c>
      <c r="BB28">
        <f t="shared" si="0"/>
        <v>20</v>
      </c>
      <c r="BC28">
        <f t="shared" si="5"/>
        <v>5</v>
      </c>
      <c r="BD28">
        <f t="shared" si="1"/>
        <v>5</v>
      </c>
      <c r="BE28">
        <v>20</v>
      </c>
      <c r="BF28">
        <v>1</v>
      </c>
      <c r="BG28" t="str">
        <f t="shared" si="3"/>
        <v>SCENARIO</v>
      </c>
      <c r="BH28" t="s">
        <v>110</v>
      </c>
      <c r="BI28" t="b">
        <v>1</v>
      </c>
      <c r="BJ28">
        <v>1</v>
      </c>
      <c r="BK28">
        <v>1</v>
      </c>
      <c r="BL28" t="s">
        <v>87</v>
      </c>
      <c r="BM28" t="s">
        <v>87</v>
      </c>
      <c r="BN28">
        <v>20000</v>
      </c>
      <c r="BO28">
        <v>1</v>
      </c>
      <c r="BP28" s="3">
        <v>20885570.18</v>
      </c>
      <c r="BQ28">
        <v>5</v>
      </c>
      <c r="BR28">
        <v>20</v>
      </c>
      <c r="BS28">
        <v>100000005</v>
      </c>
      <c r="BT28" t="s">
        <v>127</v>
      </c>
    </row>
    <row r="29" spans="1:72" x14ac:dyDescent="0.35">
      <c r="A29" s="1">
        <v>45838</v>
      </c>
      <c r="B29" t="s">
        <v>72</v>
      </c>
      <c r="C29">
        <v>12</v>
      </c>
      <c r="D29">
        <v>100000005</v>
      </c>
      <c r="E29">
        <v>5</v>
      </c>
      <c r="F29">
        <v>5</v>
      </c>
      <c r="G29" t="s">
        <v>73</v>
      </c>
      <c r="H29" t="s">
        <v>117</v>
      </c>
      <c r="I29">
        <v>1</v>
      </c>
      <c r="J29">
        <v>163186</v>
      </c>
      <c r="K29">
        <v>76921530</v>
      </c>
      <c r="L29" t="s">
        <v>75</v>
      </c>
      <c r="M29">
        <v>1</v>
      </c>
      <c r="N29">
        <v>2</v>
      </c>
      <c r="O29">
        <v>1</v>
      </c>
      <c r="P29">
        <v>2</v>
      </c>
      <c r="Q29">
        <v>20</v>
      </c>
      <c r="R29">
        <v>20</v>
      </c>
      <c r="S29">
        <v>20</v>
      </c>
      <c r="T29" t="s">
        <v>129</v>
      </c>
      <c r="U29" t="s">
        <v>77</v>
      </c>
      <c r="V29" t="s">
        <v>133</v>
      </c>
      <c r="W29" t="s">
        <v>133</v>
      </c>
      <c r="X29" t="s">
        <v>79</v>
      </c>
      <c r="Y29" t="s">
        <v>80</v>
      </c>
      <c r="Z29" t="s">
        <v>80</v>
      </c>
      <c r="AA29" t="s">
        <v>80</v>
      </c>
      <c r="AB29" t="s">
        <v>80</v>
      </c>
      <c r="AC29" t="s">
        <v>80</v>
      </c>
      <c r="AD29" t="s">
        <v>73</v>
      </c>
      <c r="AE29" t="s">
        <v>80</v>
      </c>
      <c r="AF29" t="s">
        <v>81</v>
      </c>
      <c r="AG29" t="b">
        <v>0</v>
      </c>
      <c r="AH29" t="s">
        <v>73</v>
      </c>
      <c r="AI29" t="s">
        <v>80</v>
      </c>
      <c r="AJ29" t="s">
        <v>82</v>
      </c>
      <c r="AL29">
        <v>1</v>
      </c>
      <c r="AM29">
        <v>0.24</v>
      </c>
      <c r="AN29" t="s">
        <v>98</v>
      </c>
      <c r="AO29" t="s">
        <v>131</v>
      </c>
      <c r="AP29" t="s">
        <v>85</v>
      </c>
      <c r="AQ29" s="1">
        <v>47589</v>
      </c>
      <c r="AR29" s="1">
        <v>47589</v>
      </c>
      <c r="AS29" t="s">
        <v>87</v>
      </c>
      <c r="AT29" t="s">
        <v>87</v>
      </c>
      <c r="AU29" t="s">
        <v>87</v>
      </c>
      <c r="AV29" t="s">
        <v>87</v>
      </c>
      <c r="AW29" t="s">
        <v>87</v>
      </c>
      <c r="AX29" t="s">
        <v>87</v>
      </c>
      <c r="AY29" t="s">
        <v>94</v>
      </c>
      <c r="AZ29">
        <v>20</v>
      </c>
      <c r="BA29" cm="1">
        <f t="array" ref="BA29">_xlfn.IFS(AND(AB29 = "N", AA29 = "N", AF29 &lt;&gt; "Concentrated", AC29 = "N",H29="MARGIN_LOAN"), 10,
AND(AB29 = "N", AA29 = "N", AF29 &lt;&gt; "Concentrated", AC29 = "N",H29="SFT"), 5,
AND(AB29 = "N", AA29 = "N", AF29 &lt;&gt; "Concentrated", AC29 = "Y",H29="MARGIN_LOAN"), 20,
AND(AB29 = "N", AA29 = "N", AF29 &lt;&gt; "Concentrated", AC29 = "Y",H29="SFT"), 10,
AND(AB29 = "Y", AA29 = "N", AF29 &lt;&gt; "Concentrated", AC29 = "N"), 20,
AND(AB29 = "Y", AA29 = "N", AF29 &lt;&gt; "Concentrated", AC29 = "Y"), 40,
AND(AB29 = "N",  OR(AA29 = "Y", AF29 = "Concentrated"), AC29 = "N"), 20,
AND(AB29 = "N",  OR(AA29 = "Y", AF29 = "Concentrated"), AC29 = "Y"), 40,
AND(AB29 = "Y",  OR(AA29 = "Y", AF29 = "Concentrated"), AC29 = "N"), 20,
AND(AB29 = "Y",  OR(AA29 = "Y", AF29 = "Concentrated"), AC29 = "Y"), 40)</f>
        <v>20</v>
      </c>
      <c r="BB29">
        <f t="shared" si="0"/>
        <v>20</v>
      </c>
      <c r="BC29">
        <f t="shared" si="5"/>
        <v>5</v>
      </c>
      <c r="BD29">
        <f t="shared" si="1"/>
        <v>5</v>
      </c>
      <c r="BE29">
        <v>20</v>
      </c>
      <c r="BF29">
        <v>1</v>
      </c>
      <c r="BG29" t="str">
        <f t="shared" si="3"/>
        <v>SCENARIO</v>
      </c>
      <c r="BH29" t="s">
        <v>110</v>
      </c>
      <c r="BI29" t="b">
        <v>1</v>
      </c>
      <c r="BJ29">
        <v>1</v>
      </c>
      <c r="BK29">
        <v>1</v>
      </c>
      <c r="BL29" t="s">
        <v>87</v>
      </c>
      <c r="BM29" t="s">
        <v>87</v>
      </c>
      <c r="BN29">
        <v>12341</v>
      </c>
      <c r="BO29">
        <v>1</v>
      </c>
      <c r="BP29" s="5">
        <v>8001800</v>
      </c>
      <c r="BQ29">
        <v>5</v>
      </c>
      <c r="BR29">
        <v>20</v>
      </c>
      <c r="BS29">
        <v>100000005</v>
      </c>
      <c r="BT29" t="s">
        <v>127</v>
      </c>
    </row>
    <row r="30" spans="1:72" x14ac:dyDescent="0.35">
      <c r="A30" s="1">
        <v>45838</v>
      </c>
      <c r="B30" t="s">
        <v>72</v>
      </c>
      <c r="C30">
        <v>12</v>
      </c>
      <c r="D30">
        <v>100000001</v>
      </c>
      <c r="E30">
        <v>6</v>
      </c>
      <c r="F30">
        <v>6</v>
      </c>
      <c r="G30" t="s">
        <v>73</v>
      </c>
      <c r="H30" t="s">
        <v>117</v>
      </c>
      <c r="I30">
        <v>1</v>
      </c>
      <c r="J30">
        <v>163186</v>
      </c>
      <c r="K30">
        <v>63057489</v>
      </c>
      <c r="L30" t="s">
        <v>75</v>
      </c>
      <c r="M30">
        <v>1</v>
      </c>
      <c r="N30">
        <v>2</v>
      </c>
      <c r="O30">
        <v>1</v>
      </c>
      <c r="P30">
        <v>2</v>
      </c>
      <c r="Q30">
        <v>5</v>
      </c>
      <c r="R30">
        <v>0</v>
      </c>
      <c r="S30">
        <v>5</v>
      </c>
      <c r="T30" t="s">
        <v>76</v>
      </c>
      <c r="U30" t="s">
        <v>77</v>
      </c>
      <c r="V30" t="s">
        <v>134</v>
      </c>
      <c r="W30" t="s">
        <v>134</v>
      </c>
      <c r="X30" t="s">
        <v>79</v>
      </c>
      <c r="Y30" t="s">
        <v>80</v>
      </c>
      <c r="Z30" t="s">
        <v>73</v>
      </c>
      <c r="AA30" s="2" t="s">
        <v>73</v>
      </c>
      <c r="AB30" t="s">
        <v>80</v>
      </c>
      <c r="AC30" t="s">
        <v>80</v>
      </c>
      <c r="AD30" t="s">
        <v>73</v>
      </c>
      <c r="AE30" t="s">
        <v>73</v>
      </c>
      <c r="AF30" t="s">
        <v>81</v>
      </c>
      <c r="AG30" t="b">
        <v>0</v>
      </c>
      <c r="AH30" t="s">
        <v>73</v>
      </c>
      <c r="AI30" t="s">
        <v>80</v>
      </c>
      <c r="AJ30" t="s">
        <v>82</v>
      </c>
      <c r="AL30">
        <v>1</v>
      </c>
      <c r="AM30">
        <v>0.15</v>
      </c>
      <c r="AN30" t="s">
        <v>83</v>
      </c>
      <c r="AO30" t="s">
        <v>84</v>
      </c>
      <c r="AP30" t="s">
        <v>85</v>
      </c>
      <c r="AQ30" s="1">
        <v>45839</v>
      </c>
      <c r="AR30" s="1">
        <v>45839</v>
      </c>
      <c r="AS30" t="s">
        <v>87</v>
      </c>
      <c r="AT30" t="s">
        <v>87</v>
      </c>
      <c r="AU30" t="s">
        <v>87</v>
      </c>
      <c r="AV30" t="s">
        <v>87</v>
      </c>
      <c r="AW30" t="s">
        <v>87</v>
      </c>
      <c r="AX30" t="s">
        <v>87</v>
      </c>
      <c r="AY30" t="s">
        <v>88</v>
      </c>
      <c r="AZ30">
        <v>5</v>
      </c>
      <c r="BA30" cm="1">
        <f t="array" ref="BA30">_xlfn.IFS(AND(AB30 = "N", AA30 = "N", AF30 &lt;&gt; "Concentrated", AC30 = "N",H30="MARGIN_LOAN"), 10,
AND(AB30 = "N", AA30 = "N", AF30 &lt;&gt; "Concentrated", AC30 = "N",H30="SFT"), 5,
AND(AB30 = "N", AA30 = "N", AF30 &lt;&gt; "Concentrated", AC30 = "Y",H30="MARGIN_LOAN"), 20,
AND(AB30 = "N", AA30 = "N", AF30 &lt;&gt; "Concentrated", AC30 = "Y",H30="SFT"), 10,
AND(AB30 = "Y", AA30 = "N", AF30 &lt;&gt; "Concentrated", AC30 = "N"), 20,
AND(AB30 = "Y", AA30 = "N", AF30 &lt;&gt; "Concentrated", AC30 = "Y"), 40,
AND(AB30 = "N",  OR(AA30 = "Y", AF30 = "Concentrated"), AC30 = "N"), 20,
AND(AB30 = "N",  OR(AA30 = "Y", AF30 = "Concentrated"), AC30 = "Y"), 40,
AND(AB30 = "Y",  OR(AA30 = "Y", AF30 = "Concentrated"), AC30 = "N"), 20,
AND(AB30 = "Y",  OR(AA30 = "Y", AF30 = "Concentrated"), AC30 = "Y"), 40)</f>
        <v>20</v>
      </c>
      <c r="BB30">
        <f t="shared" si="0"/>
        <v>20</v>
      </c>
      <c r="BC30">
        <f t="shared" si="5"/>
        <v>5</v>
      </c>
      <c r="BD30">
        <f t="shared" si="1"/>
        <v>5</v>
      </c>
      <c r="BE30">
        <v>5</v>
      </c>
      <c r="BF30">
        <v>1</v>
      </c>
      <c r="BG30" t="str">
        <f t="shared" si="3"/>
        <v>SCENARIO</v>
      </c>
      <c r="BH30" t="s">
        <v>89</v>
      </c>
      <c r="BI30" t="b">
        <v>1</v>
      </c>
      <c r="BJ30">
        <v>1</v>
      </c>
      <c r="BK30">
        <v>1</v>
      </c>
      <c r="BL30" t="s">
        <v>87</v>
      </c>
      <c r="BM30" t="s">
        <v>87</v>
      </c>
      <c r="BN30">
        <v>10000</v>
      </c>
      <c r="BO30">
        <v>0</v>
      </c>
      <c r="BP30" s="4">
        <v>770909</v>
      </c>
      <c r="BQ30">
        <v>5</v>
      </c>
      <c r="BR30">
        <v>20</v>
      </c>
      <c r="BS30">
        <v>100000006</v>
      </c>
      <c r="BT30" t="s">
        <v>135</v>
      </c>
    </row>
    <row r="31" spans="1:72" x14ac:dyDescent="0.35">
      <c r="A31" s="1">
        <v>45838</v>
      </c>
      <c r="B31" t="s">
        <v>72</v>
      </c>
      <c r="C31">
        <v>12</v>
      </c>
      <c r="D31">
        <v>100000001</v>
      </c>
      <c r="E31">
        <v>6</v>
      </c>
      <c r="F31">
        <v>6</v>
      </c>
      <c r="G31" t="s">
        <v>73</v>
      </c>
      <c r="H31" t="s">
        <v>117</v>
      </c>
      <c r="I31">
        <v>15</v>
      </c>
      <c r="J31">
        <v>163186</v>
      </c>
      <c r="K31">
        <v>15842976</v>
      </c>
      <c r="L31" t="s">
        <v>75</v>
      </c>
      <c r="M31">
        <v>1</v>
      </c>
      <c r="N31">
        <v>2</v>
      </c>
      <c r="O31">
        <v>1</v>
      </c>
      <c r="P31">
        <v>2</v>
      </c>
      <c r="Q31">
        <v>5</v>
      </c>
      <c r="R31">
        <v>0</v>
      </c>
      <c r="S31">
        <v>5</v>
      </c>
      <c r="T31" t="s">
        <v>76</v>
      </c>
      <c r="U31" t="s">
        <v>77</v>
      </c>
      <c r="V31" t="s">
        <v>136</v>
      </c>
      <c r="W31" t="s">
        <v>136</v>
      </c>
      <c r="X31" t="s">
        <v>79</v>
      </c>
      <c r="Y31" t="s">
        <v>80</v>
      </c>
      <c r="Z31" t="s">
        <v>73</v>
      </c>
      <c r="AA31" t="s">
        <v>80</v>
      </c>
      <c r="AB31" t="s">
        <v>80</v>
      </c>
      <c r="AC31" t="s">
        <v>80</v>
      </c>
      <c r="AD31" t="s">
        <v>73</v>
      </c>
      <c r="AE31" t="s">
        <v>73</v>
      </c>
      <c r="AF31" t="s">
        <v>81</v>
      </c>
      <c r="AG31" t="b">
        <v>0</v>
      </c>
      <c r="AH31" t="s">
        <v>73</v>
      </c>
      <c r="AI31" t="s">
        <v>80</v>
      </c>
      <c r="AJ31" t="s">
        <v>82</v>
      </c>
      <c r="AL31">
        <v>1</v>
      </c>
      <c r="AM31">
        <v>0.25</v>
      </c>
      <c r="AN31" t="s">
        <v>83</v>
      </c>
      <c r="AO31" t="s">
        <v>84</v>
      </c>
      <c r="AP31" t="s">
        <v>85</v>
      </c>
      <c r="AQ31" s="1">
        <v>45839</v>
      </c>
      <c r="AR31" s="1">
        <v>45839</v>
      </c>
      <c r="AS31" t="s">
        <v>87</v>
      </c>
      <c r="AT31" t="s">
        <v>87</v>
      </c>
      <c r="AU31" t="s">
        <v>87</v>
      </c>
      <c r="AW31" t="s">
        <v>87</v>
      </c>
      <c r="AX31" t="s">
        <v>87</v>
      </c>
      <c r="AY31" t="s">
        <v>94</v>
      </c>
      <c r="AZ31">
        <v>5</v>
      </c>
      <c r="BA31" cm="1">
        <f t="array" ref="BA31">_xlfn.IFS(AND(AB31 = "N", AA31 = "N", AF31 &lt;&gt; "Concentrated", AC31 = "N",H31="MARGIN_LOAN"), 10,
AND(AB31 = "N", AA31 = "N", AF31 &lt;&gt; "Concentrated", AC31 = "N",H31="SFT"), 5,
AND(AB31 = "N", AA31 = "N", AF31 &lt;&gt; "Concentrated", AC31 = "Y",H31="MARGIN_LOAN"), 20,
AND(AB31 = "N", AA31 = "N", AF31 &lt;&gt; "Concentrated", AC31 = "Y",H31="SFT"), 10,
AND(AB31 = "Y", AA31 = "N", AF31 &lt;&gt; "Concentrated", AC31 = "N"), 20,
AND(AB31 = "Y", AA31 = "N", AF31 &lt;&gt; "Concentrated", AC31 = "Y"), 40,
AND(AB31 = "N",  OR(AA31 = "Y", AF31 = "Concentrated"), AC31 = "N"), 20,
AND(AB31 = "N",  OR(AA31 = "Y", AF31 = "Concentrated"), AC31 = "Y"), 40,
AND(AB31 = "Y",  OR(AA31 = "Y", AF31 = "Concentrated"), AC31 = "N"), 20,
AND(AB31 = "Y",  OR(AA31 = "Y", AF31 = "Concentrated"), AC31 = "Y"), 40)</f>
        <v>20</v>
      </c>
      <c r="BB31">
        <f t="shared" si="0"/>
        <v>20</v>
      </c>
      <c r="BC31">
        <f t="shared" si="5"/>
        <v>5</v>
      </c>
      <c r="BD31">
        <f t="shared" si="1"/>
        <v>5</v>
      </c>
      <c r="BE31">
        <v>5</v>
      </c>
      <c r="BF31">
        <v>1</v>
      </c>
      <c r="BG31" t="str">
        <f t="shared" si="3"/>
        <v>SCENARIO</v>
      </c>
      <c r="BH31" t="s">
        <v>89</v>
      </c>
      <c r="BI31" t="b">
        <v>1</v>
      </c>
      <c r="BJ31">
        <v>1</v>
      </c>
      <c r="BK31">
        <v>1</v>
      </c>
      <c r="BL31" t="s">
        <v>87</v>
      </c>
      <c r="BN31">
        <v>10000</v>
      </c>
      <c r="BO31">
        <v>0</v>
      </c>
      <c r="BP31" s="4">
        <v>4082837</v>
      </c>
      <c r="BQ31">
        <v>5</v>
      </c>
      <c r="BR31">
        <v>20</v>
      </c>
      <c r="BS31">
        <v>100000006</v>
      </c>
      <c r="BT31" t="s">
        <v>135</v>
      </c>
    </row>
    <row r="32" spans="1:72" x14ac:dyDescent="0.35">
      <c r="A32" s="1">
        <v>45838</v>
      </c>
      <c r="B32" t="s">
        <v>72</v>
      </c>
      <c r="C32">
        <v>12</v>
      </c>
      <c r="D32">
        <v>100000001</v>
      </c>
      <c r="E32">
        <v>6</v>
      </c>
      <c r="F32">
        <v>6</v>
      </c>
      <c r="G32" t="s">
        <v>73</v>
      </c>
      <c r="H32" t="s">
        <v>117</v>
      </c>
      <c r="I32">
        <v>1</v>
      </c>
      <c r="J32">
        <v>163186</v>
      </c>
      <c r="K32">
        <v>29753014</v>
      </c>
      <c r="L32" t="s">
        <v>75</v>
      </c>
      <c r="M32">
        <v>1</v>
      </c>
      <c r="N32">
        <v>2</v>
      </c>
      <c r="O32">
        <v>1</v>
      </c>
      <c r="P32">
        <v>2</v>
      </c>
      <c r="Q32">
        <v>5</v>
      </c>
      <c r="R32">
        <v>0</v>
      </c>
      <c r="S32">
        <v>5</v>
      </c>
      <c r="T32" t="s">
        <v>76</v>
      </c>
      <c r="U32" t="s">
        <v>77</v>
      </c>
      <c r="V32" t="s">
        <v>137</v>
      </c>
      <c r="W32" t="s">
        <v>137</v>
      </c>
      <c r="X32" t="s">
        <v>79</v>
      </c>
      <c r="Y32" t="s">
        <v>80</v>
      </c>
      <c r="Z32" t="s">
        <v>73</v>
      </c>
      <c r="AA32" t="s">
        <v>80</v>
      </c>
      <c r="AB32" t="s">
        <v>80</v>
      </c>
      <c r="AC32" t="s">
        <v>80</v>
      </c>
      <c r="AD32" t="s">
        <v>73</v>
      </c>
      <c r="AE32" t="s">
        <v>73</v>
      </c>
      <c r="AF32" t="s">
        <v>81</v>
      </c>
      <c r="AG32" t="b">
        <v>0</v>
      </c>
      <c r="AH32" t="s">
        <v>73</v>
      </c>
      <c r="AI32" t="s">
        <v>80</v>
      </c>
      <c r="AJ32" t="s">
        <v>82</v>
      </c>
      <c r="AL32">
        <v>1</v>
      </c>
      <c r="AM32">
        <v>0.25</v>
      </c>
      <c r="AN32" t="s">
        <v>83</v>
      </c>
      <c r="AO32" t="s">
        <v>84</v>
      </c>
      <c r="AP32" t="s">
        <v>85</v>
      </c>
      <c r="AQ32" s="1">
        <v>45839</v>
      </c>
      <c r="AR32" s="1">
        <v>45839</v>
      </c>
      <c r="AS32" t="s">
        <v>87</v>
      </c>
      <c r="AT32" t="s">
        <v>87</v>
      </c>
      <c r="AU32" t="s">
        <v>87</v>
      </c>
      <c r="AV32" t="s">
        <v>87</v>
      </c>
      <c r="AW32" t="s">
        <v>87</v>
      </c>
      <c r="AX32" t="s">
        <v>87</v>
      </c>
      <c r="AY32" t="s">
        <v>94</v>
      </c>
      <c r="AZ32">
        <v>5</v>
      </c>
      <c r="BA32" cm="1">
        <f t="array" ref="BA32">_xlfn.IFS(AND(AB32 = "N", AA32 = "N", AF32 &lt;&gt; "Concentrated", AC32 = "N",H32="MARGIN_LOAN"), 10,
AND(AB32 = "N", AA32 = "N", AF32 &lt;&gt; "Concentrated", AC32 = "N",H32="SFT"), 5,
AND(AB32 = "N", AA32 = "N", AF32 &lt;&gt; "Concentrated", AC32 = "Y",H32="MARGIN_LOAN"), 20,
AND(AB32 = "N", AA32 = "N", AF32 &lt;&gt; "Concentrated", AC32 = "Y",H32="SFT"), 10,
AND(AB32 = "Y", AA32 = "N", AF32 &lt;&gt; "Concentrated", AC32 = "N"), 20,
AND(AB32 = "Y", AA32 = "N", AF32 &lt;&gt; "Concentrated", AC32 = "Y"), 40,
AND(AB32 = "N",  OR(AA32 = "Y", AF32 = "Concentrated"), AC32 = "N"), 20,
AND(AB32 = "N",  OR(AA32 = "Y", AF32 = "Concentrated"), AC32 = "Y"), 40,
AND(AB32 = "Y",  OR(AA32 = "Y", AF32 = "Concentrated"), AC32 = "N"), 20,
AND(AB32 = "Y",  OR(AA32 = "Y", AF32 = "Concentrated"), AC32 = "Y"), 40)</f>
        <v>20</v>
      </c>
      <c r="BB32">
        <f t="shared" si="0"/>
        <v>20</v>
      </c>
      <c r="BC32">
        <f t="shared" si="5"/>
        <v>5</v>
      </c>
      <c r="BD32">
        <f t="shared" si="1"/>
        <v>5</v>
      </c>
      <c r="BE32">
        <v>5</v>
      </c>
      <c r="BF32">
        <v>1</v>
      </c>
      <c r="BG32" t="str">
        <f t="shared" si="3"/>
        <v>SCENARIO</v>
      </c>
      <c r="BH32" t="s">
        <v>89</v>
      </c>
      <c r="BI32" t="b">
        <v>1</v>
      </c>
      <c r="BJ32">
        <v>1</v>
      </c>
      <c r="BK32">
        <v>1</v>
      </c>
      <c r="BL32" t="s">
        <v>87</v>
      </c>
      <c r="BM32" t="s">
        <v>87</v>
      </c>
      <c r="BN32">
        <v>10000</v>
      </c>
      <c r="BO32">
        <v>0</v>
      </c>
      <c r="BP32" s="4">
        <v>1777799</v>
      </c>
      <c r="BQ32">
        <v>5</v>
      </c>
      <c r="BR32">
        <v>20</v>
      </c>
      <c r="BS32">
        <v>100000006</v>
      </c>
      <c r="BT32" t="s">
        <v>135</v>
      </c>
    </row>
    <row r="33" spans="1:72" x14ac:dyDescent="0.35">
      <c r="A33" s="1">
        <v>45838</v>
      </c>
      <c r="B33" t="s">
        <v>72</v>
      </c>
      <c r="C33">
        <v>12</v>
      </c>
      <c r="D33">
        <v>100000001</v>
      </c>
      <c r="E33">
        <v>7</v>
      </c>
      <c r="F33">
        <v>7</v>
      </c>
      <c r="G33" t="s">
        <v>73</v>
      </c>
      <c r="H33" t="s">
        <v>117</v>
      </c>
      <c r="I33">
        <v>1</v>
      </c>
      <c r="J33">
        <v>163186</v>
      </c>
      <c r="K33">
        <v>84579230</v>
      </c>
      <c r="L33" t="s">
        <v>75</v>
      </c>
      <c r="M33">
        <v>1</v>
      </c>
      <c r="N33">
        <v>2</v>
      </c>
      <c r="O33">
        <v>1</v>
      </c>
      <c r="P33">
        <v>2</v>
      </c>
      <c r="Q33">
        <v>40</v>
      </c>
      <c r="R33">
        <v>20</v>
      </c>
      <c r="S33">
        <v>40</v>
      </c>
      <c r="T33" t="s">
        <v>124</v>
      </c>
      <c r="U33" t="s">
        <v>77</v>
      </c>
      <c r="V33" t="s">
        <v>138</v>
      </c>
      <c r="W33" t="s">
        <v>138</v>
      </c>
      <c r="X33" t="s">
        <v>79</v>
      </c>
      <c r="Y33" t="s">
        <v>80</v>
      </c>
      <c r="Z33" t="s">
        <v>80</v>
      </c>
      <c r="AA33" t="s">
        <v>73</v>
      </c>
      <c r="AB33" t="s">
        <v>80</v>
      </c>
      <c r="AC33" t="s">
        <v>80</v>
      </c>
      <c r="AD33" t="s">
        <v>73</v>
      </c>
      <c r="AE33" t="s">
        <v>80</v>
      </c>
      <c r="AF33" t="s">
        <v>81</v>
      </c>
      <c r="AG33" t="b">
        <v>0</v>
      </c>
      <c r="AH33" t="s">
        <v>80</v>
      </c>
      <c r="AI33" t="s">
        <v>80</v>
      </c>
      <c r="AJ33" t="s">
        <v>82</v>
      </c>
      <c r="AL33">
        <v>1</v>
      </c>
      <c r="AM33">
        <v>0.25</v>
      </c>
      <c r="AN33" t="s">
        <v>83</v>
      </c>
      <c r="AO33" t="s">
        <v>139</v>
      </c>
      <c r="AP33" t="s">
        <v>85</v>
      </c>
      <c r="AQ33" s="1">
        <v>46139</v>
      </c>
      <c r="AR33" s="1">
        <v>46139</v>
      </c>
      <c r="AS33" t="s">
        <v>87</v>
      </c>
      <c r="AT33" t="s">
        <v>87</v>
      </c>
      <c r="AU33" t="s">
        <v>87</v>
      </c>
      <c r="AV33" t="s">
        <v>87</v>
      </c>
      <c r="AW33" t="s">
        <v>87</v>
      </c>
      <c r="AX33" t="s">
        <v>87</v>
      </c>
      <c r="AY33" t="s">
        <v>88</v>
      </c>
      <c r="AZ33">
        <v>40</v>
      </c>
      <c r="BA33" cm="1">
        <f t="array" ref="BA33">_xlfn.IFS(AND(AB33 = "N", AA33 = "N", AF33 &lt;&gt; "Concentrated", AC33 = "N",H33="MARGIN_LOAN"), 10,
AND(AB33 = "N", AA33 = "N", AF33 &lt;&gt; "Concentrated", AC33 = "N",H33="SFT"), 5,
AND(AB33 = "N", AA33 = "N", AF33 &lt;&gt; "Concentrated", AC33 = "Y",H33="MARGIN_LOAN"), 20,
AND(AB33 = "N", AA33 = "N", AF33 &lt;&gt; "Concentrated", AC33 = "Y",H33="SFT"), 10,
AND(AB33 = "Y", AA33 = "N", AF33 &lt;&gt; "Concentrated", AC33 = "N"), 20,
AND(AB33 = "Y", AA33 = "N", AF33 &lt;&gt; "Concentrated", AC33 = "Y"), 40,
AND(AB33 = "N",  OR(AA33 = "Y", AF33 = "Concentrated"), AC33 = "N"), 20,
AND(AB33 = "N",  OR(AA33 = "Y", AF33 = "Concentrated"), AC33 = "Y"), 40,
AND(AB33 = "Y",  OR(AA33 = "Y", AF33 = "Concentrated"), AC33 = "N"), 20,
AND(AB33 = "Y",  OR(AA33 = "Y", AF33 = "Concentrated"), AC33 = "Y"), 40)</f>
        <v>20</v>
      </c>
      <c r="BB33">
        <f t="shared" si="0"/>
        <v>20</v>
      </c>
      <c r="BC33">
        <f t="shared" si="5"/>
        <v>5</v>
      </c>
      <c r="BD33">
        <f t="shared" si="1"/>
        <v>5</v>
      </c>
      <c r="BE33">
        <v>40</v>
      </c>
      <c r="BF33">
        <v>1</v>
      </c>
      <c r="BG33" t="str">
        <f t="shared" si="3"/>
        <v>SCENARIO</v>
      </c>
      <c r="BH33" t="s">
        <v>110</v>
      </c>
      <c r="BI33" t="b">
        <v>1</v>
      </c>
      <c r="BJ33">
        <v>0</v>
      </c>
      <c r="BK33">
        <v>1</v>
      </c>
      <c r="BL33" t="s">
        <v>87</v>
      </c>
      <c r="BM33" t="s">
        <v>87</v>
      </c>
      <c r="BN33">
        <v>231442</v>
      </c>
      <c r="BO33">
        <v>128352840</v>
      </c>
      <c r="BP33" s="4">
        <v>176393615</v>
      </c>
      <c r="BQ33">
        <v>5</v>
      </c>
      <c r="BR33">
        <v>40</v>
      </c>
      <c r="BS33">
        <v>100000007</v>
      </c>
      <c r="BT33" t="s">
        <v>140</v>
      </c>
    </row>
    <row r="34" spans="1:72" x14ac:dyDescent="0.35">
      <c r="A34" s="1">
        <v>45838</v>
      </c>
      <c r="B34" t="s">
        <v>72</v>
      </c>
      <c r="C34">
        <v>12</v>
      </c>
      <c r="D34">
        <v>100000001</v>
      </c>
      <c r="E34">
        <v>7</v>
      </c>
      <c r="F34">
        <v>7</v>
      </c>
      <c r="G34" t="s">
        <v>73</v>
      </c>
      <c r="H34" t="s">
        <v>117</v>
      </c>
      <c r="I34">
        <v>1</v>
      </c>
      <c r="J34">
        <v>163186</v>
      </c>
      <c r="K34">
        <v>90463182</v>
      </c>
      <c r="L34" t="s">
        <v>75</v>
      </c>
      <c r="M34">
        <v>1</v>
      </c>
      <c r="N34">
        <v>2</v>
      </c>
      <c r="O34">
        <v>1</v>
      </c>
      <c r="P34">
        <v>2</v>
      </c>
      <c r="Q34">
        <v>5</v>
      </c>
      <c r="R34">
        <v>0</v>
      </c>
      <c r="S34">
        <v>5</v>
      </c>
      <c r="T34" t="s">
        <v>76</v>
      </c>
      <c r="U34" t="s">
        <v>77</v>
      </c>
      <c r="V34" t="s">
        <v>141</v>
      </c>
      <c r="W34" t="s">
        <v>141</v>
      </c>
      <c r="X34" t="s">
        <v>79</v>
      </c>
      <c r="Y34" t="s">
        <v>80</v>
      </c>
      <c r="Z34" t="s">
        <v>80</v>
      </c>
      <c r="AA34" t="s">
        <v>80</v>
      </c>
      <c r="AB34" t="s">
        <v>80</v>
      </c>
      <c r="AC34" t="s">
        <v>80</v>
      </c>
      <c r="AD34" t="s">
        <v>73</v>
      </c>
      <c r="AE34" t="s">
        <v>80</v>
      </c>
      <c r="AF34" t="s">
        <v>81</v>
      </c>
      <c r="AG34" t="b">
        <v>0</v>
      </c>
      <c r="AH34" t="s">
        <v>73</v>
      </c>
      <c r="AI34" t="s">
        <v>80</v>
      </c>
      <c r="AJ34" t="s">
        <v>82</v>
      </c>
      <c r="AL34">
        <v>1</v>
      </c>
      <c r="AM34">
        <v>0</v>
      </c>
      <c r="AN34" t="s">
        <v>83</v>
      </c>
      <c r="AO34" t="s">
        <v>142</v>
      </c>
      <c r="AP34" t="s">
        <v>85</v>
      </c>
      <c r="AQ34" s="1">
        <v>1</v>
      </c>
      <c r="AS34" t="s">
        <v>87</v>
      </c>
      <c r="AT34" t="s">
        <v>87</v>
      </c>
      <c r="AU34" t="s">
        <v>87</v>
      </c>
      <c r="AV34" t="s">
        <v>87</v>
      </c>
      <c r="AW34" t="s">
        <v>87</v>
      </c>
      <c r="AX34" t="s">
        <v>87</v>
      </c>
      <c r="AY34" t="s">
        <v>94</v>
      </c>
      <c r="AZ34">
        <v>20</v>
      </c>
      <c r="BA34" cm="1">
        <f t="array" ref="BA34">_xlfn.IFS(AND(AB34 = "N", AA34 = "N", AF34 &lt;&gt; "Concentrated", AC34 = "N",H34="MARGIN_LOAN"), 10,
AND(AB34 = "N", AA34 = "N", AF34 &lt;&gt; "Concentrated", AC34 = "N",H34="SFT"), 5,
AND(AB34 = "N", AA34 = "N", AF34 &lt;&gt; "Concentrated", AC34 = "Y",H34="MARGIN_LOAN"), 20,
AND(AB34 = "N", AA34 = "N", AF34 &lt;&gt; "Concentrated", AC34 = "Y",H34="SFT"), 10,
AND(AB34 = "Y", AA34 = "N", AF34 &lt;&gt; "Concentrated", AC34 = "N"), 20,
AND(AB34 = "Y", AA34 = "N", AF34 &lt;&gt; "Concentrated", AC34 = "Y"), 40,
AND(AB34 = "N",  OR(AA34 = "Y", AF34 = "Concentrated"), AC34 = "N"), 20,
AND(AB34 = "N",  OR(AA34 = "Y", AF34 = "Concentrated"), AC34 = "Y"), 40,
AND(AB34 = "Y",  OR(AA34 = "Y", AF34 = "Concentrated"), AC34 = "N"), 20,
AND(AB34 = "Y",  OR(AA34 = "Y", AF34 = "Concentrated"), AC34 = "Y"), 40)</f>
        <v>20</v>
      </c>
      <c r="BB34">
        <f t="shared" si="0"/>
        <v>20</v>
      </c>
      <c r="BC34">
        <f t="shared" si="5"/>
        <v>5</v>
      </c>
      <c r="BD34">
        <f t="shared" si="1"/>
        <v>5</v>
      </c>
      <c r="BE34">
        <v>20</v>
      </c>
      <c r="BF34">
        <v>1</v>
      </c>
      <c r="BG34" t="str">
        <f t="shared" si="3"/>
        <v>SCENARIO</v>
      </c>
      <c r="BH34" t="s">
        <v>110</v>
      </c>
      <c r="BI34" t="b">
        <v>1</v>
      </c>
      <c r="BJ34">
        <v>1</v>
      </c>
      <c r="BK34">
        <v>1</v>
      </c>
      <c r="BL34" t="s">
        <v>87</v>
      </c>
      <c r="BM34" t="s">
        <v>87</v>
      </c>
      <c r="BN34">
        <v>0</v>
      </c>
      <c r="BO34">
        <v>1810670</v>
      </c>
      <c r="BP34" s="4">
        <v>0</v>
      </c>
      <c r="BQ34">
        <v>5</v>
      </c>
      <c r="BR34">
        <v>20</v>
      </c>
      <c r="BS34">
        <v>100000007</v>
      </c>
      <c r="BT34" t="s">
        <v>140</v>
      </c>
    </row>
    <row r="35" spans="1:72" x14ac:dyDescent="0.35">
      <c r="A35" s="1">
        <v>45838</v>
      </c>
      <c r="B35" t="s">
        <v>72</v>
      </c>
      <c r="C35">
        <v>12</v>
      </c>
      <c r="D35">
        <v>100000001</v>
      </c>
      <c r="E35">
        <v>8</v>
      </c>
      <c r="F35">
        <v>8</v>
      </c>
      <c r="G35" t="s">
        <v>73</v>
      </c>
      <c r="H35" t="s">
        <v>117</v>
      </c>
      <c r="I35">
        <v>1</v>
      </c>
      <c r="J35">
        <v>163186</v>
      </c>
      <c r="K35">
        <v>56318047</v>
      </c>
      <c r="L35" t="s">
        <v>75</v>
      </c>
      <c r="M35">
        <v>1</v>
      </c>
      <c r="N35">
        <v>2</v>
      </c>
      <c r="O35">
        <v>1</v>
      </c>
      <c r="P35">
        <v>2</v>
      </c>
      <c r="Q35">
        <v>0</v>
      </c>
      <c r="R35">
        <v>0</v>
      </c>
      <c r="S35">
        <v>0</v>
      </c>
      <c r="U35" t="s">
        <v>77</v>
      </c>
      <c r="V35" t="s">
        <v>143</v>
      </c>
      <c r="W35" t="s">
        <v>143</v>
      </c>
      <c r="X35" t="s">
        <v>79</v>
      </c>
      <c r="Y35" t="s">
        <v>73</v>
      </c>
      <c r="Z35" t="s">
        <v>73</v>
      </c>
      <c r="AA35" t="s">
        <v>80</v>
      </c>
      <c r="AB35" t="s">
        <v>80</v>
      </c>
      <c r="AC35" t="s">
        <v>80</v>
      </c>
      <c r="AD35" t="s">
        <v>73</v>
      </c>
      <c r="AE35" t="s">
        <v>73</v>
      </c>
      <c r="AF35" t="s">
        <v>81</v>
      </c>
      <c r="AG35" t="b">
        <v>0</v>
      </c>
      <c r="AH35" t="s">
        <v>73</v>
      </c>
      <c r="AI35" t="s">
        <v>80</v>
      </c>
      <c r="AJ35" t="s">
        <v>82</v>
      </c>
      <c r="AL35">
        <v>1</v>
      </c>
      <c r="AM35">
        <v>0.25</v>
      </c>
      <c r="AN35" t="s">
        <v>83</v>
      </c>
      <c r="AO35" t="s">
        <v>84</v>
      </c>
      <c r="AP35" t="s">
        <v>85</v>
      </c>
      <c r="AQ35" s="1">
        <v>45839</v>
      </c>
      <c r="AR35" s="1">
        <v>45839</v>
      </c>
      <c r="AS35" t="s">
        <v>87</v>
      </c>
      <c r="AT35" t="s">
        <v>87</v>
      </c>
      <c r="AU35" t="s">
        <v>87</v>
      </c>
      <c r="AV35" t="s">
        <v>87</v>
      </c>
      <c r="AW35" t="s">
        <v>87</v>
      </c>
      <c r="AX35" t="s">
        <v>87</v>
      </c>
      <c r="AY35" t="s">
        <v>88</v>
      </c>
      <c r="AZ35">
        <v>5</v>
      </c>
      <c r="BA35" cm="1">
        <f t="array" ref="BA35">_xlfn.IFS(AND(AB35 = "N", AA35 = "N", AF35 &lt;&gt; "Concentrated", AC35 = "N",H35="MARGIN_LOAN"), 10,
AND(AB35 = "N", AA35 = "N", AF35 &lt;&gt; "Concentrated", AC35 = "N",H35="SFT"), 5,
AND(AB35 = "N", AA35 = "N", AF35 &lt;&gt; "Concentrated", AC35 = "Y",H35="MARGIN_LOAN"), 20,
AND(AB35 = "N", AA35 = "N", AF35 &lt;&gt; "Concentrated", AC35 = "Y",H35="SFT"), 10,
AND(AB35 = "Y", AA35 = "N", AF35 &lt;&gt; "Concentrated", AC35 = "N"), 20,
AND(AB35 = "Y", AA35 = "N", AF35 &lt;&gt; "Concentrated", AC35 = "Y"), 40,
AND(AB35 = "N",  OR(AA35 = "Y", AF35 = "Concentrated"), AC35 = "N"), 20,
AND(AB35 = "N",  OR(AA35 = "Y", AF35 = "Concentrated"), AC35 = "Y"), 40,
AND(AB35 = "Y",  OR(AA35 = "Y", AF35 = "Concentrated"), AC35 = "N"), 20,
AND(AB35 = "Y",  OR(AA35 = "Y", AF35 = "Concentrated"), AC35 = "Y"), 40)</f>
        <v>20</v>
      </c>
      <c r="BB35">
        <f t="shared" si="0"/>
        <v>20</v>
      </c>
      <c r="BC35">
        <f t="shared" si="5"/>
        <v>5</v>
      </c>
      <c r="BD35">
        <f t="shared" si="1"/>
        <v>5</v>
      </c>
      <c r="BE35">
        <v>5</v>
      </c>
      <c r="BF35">
        <v>1</v>
      </c>
      <c r="BG35" t="str">
        <f t="shared" si="3"/>
        <v>SCENARIO</v>
      </c>
      <c r="BH35" t="s">
        <v>89</v>
      </c>
      <c r="BI35" t="b">
        <v>1</v>
      </c>
      <c r="BJ35">
        <v>0</v>
      </c>
      <c r="BK35">
        <v>0</v>
      </c>
      <c r="BL35" t="s">
        <v>87</v>
      </c>
      <c r="BM35" t="s">
        <v>87</v>
      </c>
      <c r="BN35">
        <v>20000</v>
      </c>
      <c r="BO35">
        <v>14584290</v>
      </c>
      <c r="BP35" s="4"/>
      <c r="BQ35">
        <v>0</v>
      </c>
      <c r="BR35">
        <v>0</v>
      </c>
      <c r="BS35">
        <v>100000008</v>
      </c>
      <c r="BT35" t="s">
        <v>144</v>
      </c>
    </row>
    <row r="36" spans="1:72" x14ac:dyDescent="0.35">
      <c r="A36" s="1">
        <v>45838</v>
      </c>
      <c r="B36" t="s">
        <v>72</v>
      </c>
      <c r="C36">
        <v>12</v>
      </c>
      <c r="D36">
        <v>100000001</v>
      </c>
      <c r="E36">
        <v>8</v>
      </c>
      <c r="F36">
        <v>8</v>
      </c>
      <c r="G36" t="s">
        <v>73</v>
      </c>
      <c r="H36" t="s">
        <v>117</v>
      </c>
      <c r="I36">
        <v>1</v>
      </c>
      <c r="J36">
        <v>163186</v>
      </c>
      <c r="K36">
        <v>70964215</v>
      </c>
      <c r="L36" t="s">
        <v>75</v>
      </c>
      <c r="M36">
        <v>1</v>
      </c>
      <c r="N36">
        <v>2</v>
      </c>
      <c r="O36">
        <v>1</v>
      </c>
      <c r="P36">
        <v>2</v>
      </c>
      <c r="Q36">
        <v>5</v>
      </c>
      <c r="R36">
        <v>0</v>
      </c>
      <c r="S36">
        <v>5</v>
      </c>
      <c r="T36" t="s">
        <v>76</v>
      </c>
      <c r="U36" t="s">
        <v>77</v>
      </c>
      <c r="V36" t="s">
        <v>145</v>
      </c>
      <c r="W36" t="s">
        <v>145</v>
      </c>
      <c r="X36" t="s">
        <v>79</v>
      </c>
      <c r="Y36" t="s">
        <v>80</v>
      </c>
      <c r="Z36" t="s">
        <v>73</v>
      </c>
      <c r="AA36" t="s">
        <v>80</v>
      </c>
      <c r="AB36" t="s">
        <v>80</v>
      </c>
      <c r="AC36" t="s">
        <v>80</v>
      </c>
      <c r="AD36" t="s">
        <v>73</v>
      </c>
      <c r="AE36" t="s">
        <v>73</v>
      </c>
      <c r="AF36" t="s">
        <v>81</v>
      </c>
      <c r="AG36" t="b">
        <v>0</v>
      </c>
      <c r="AH36" t="s">
        <v>73</v>
      </c>
      <c r="AI36" t="s">
        <v>80</v>
      </c>
      <c r="AJ36" t="s">
        <v>82</v>
      </c>
      <c r="AL36">
        <v>1</v>
      </c>
      <c r="AM36">
        <v>0.25</v>
      </c>
      <c r="AN36" t="s">
        <v>83</v>
      </c>
      <c r="AO36" t="s">
        <v>84</v>
      </c>
      <c r="AP36" t="s">
        <v>85</v>
      </c>
      <c r="AQ36" s="1">
        <v>45839</v>
      </c>
      <c r="AR36" s="1">
        <v>45839</v>
      </c>
      <c r="AS36" t="s">
        <v>87</v>
      </c>
      <c r="AT36" t="s">
        <v>87</v>
      </c>
      <c r="AU36" t="s">
        <v>87</v>
      </c>
      <c r="AV36" t="s">
        <v>87</v>
      </c>
      <c r="AW36" t="s">
        <v>87</v>
      </c>
      <c r="AX36" t="s">
        <v>87</v>
      </c>
      <c r="AY36" t="s">
        <v>88</v>
      </c>
      <c r="AZ36">
        <v>5</v>
      </c>
      <c r="BA36" cm="1">
        <f t="array" ref="BA36">_xlfn.IFS(AND(AB36 = "N", AA36 = "N", AF36 &lt;&gt; "Concentrated", AC36 = "N",H36="MARGIN_LOAN"), 10,
AND(AB36 = "N", AA36 = "N", AF36 &lt;&gt; "Concentrated", AC36 = "N",H36="SFT"), 5,
AND(AB36 = "N", AA36 = "N", AF36 &lt;&gt; "Concentrated", AC36 = "Y",H36="MARGIN_LOAN"), 20,
AND(AB36 = "N", AA36 = "N", AF36 &lt;&gt; "Concentrated", AC36 = "Y",H36="SFT"), 10,
AND(AB36 = "Y", AA36 = "N", AF36 &lt;&gt; "Concentrated", AC36 = "N"), 20,
AND(AB36 = "Y", AA36 = "N", AF36 &lt;&gt; "Concentrated", AC36 = "Y"), 40,
AND(AB36 = "N",  OR(AA36 = "Y", AF36 = "Concentrated"), AC36 = "N"), 20,
AND(AB36 = "N",  OR(AA36 = "Y", AF36 = "Concentrated"), AC36 = "Y"), 40,
AND(AB36 = "Y",  OR(AA36 = "Y", AF36 = "Concentrated"), AC36 = "N"), 20,
AND(AB36 = "Y",  OR(AA36 = "Y", AF36 = "Concentrated"), AC36 = "Y"), 40)</f>
        <v>20</v>
      </c>
      <c r="BB36">
        <f t="shared" si="0"/>
        <v>20</v>
      </c>
      <c r="BC36">
        <f t="shared" si="5"/>
        <v>5</v>
      </c>
      <c r="BD36">
        <f t="shared" si="1"/>
        <v>5</v>
      </c>
      <c r="BE36">
        <v>5</v>
      </c>
      <c r="BF36">
        <v>1</v>
      </c>
      <c r="BG36" t="str">
        <f t="shared" si="3"/>
        <v>SCENARIO</v>
      </c>
      <c r="BH36" t="s">
        <v>89</v>
      </c>
      <c r="BI36" t="b">
        <v>1</v>
      </c>
      <c r="BJ36">
        <v>1</v>
      </c>
      <c r="BK36">
        <v>1</v>
      </c>
      <c r="BL36" t="s">
        <v>87</v>
      </c>
      <c r="BM36" t="s">
        <v>87</v>
      </c>
      <c r="BN36">
        <v>12341</v>
      </c>
      <c r="BP36" s="4">
        <v>11419335.6</v>
      </c>
      <c r="BQ36">
        <v>5</v>
      </c>
      <c r="BR36">
        <v>20</v>
      </c>
      <c r="BS36">
        <v>100000008</v>
      </c>
      <c r="BT36" t="s">
        <v>144</v>
      </c>
    </row>
    <row r="37" spans="1:72" x14ac:dyDescent="0.35">
      <c r="A37" s="1">
        <v>45838</v>
      </c>
      <c r="B37" t="s">
        <v>72</v>
      </c>
      <c r="C37">
        <v>12</v>
      </c>
      <c r="D37">
        <v>100000001</v>
      </c>
      <c r="E37">
        <v>8</v>
      </c>
      <c r="F37">
        <v>8</v>
      </c>
      <c r="G37" t="s">
        <v>73</v>
      </c>
      <c r="H37" t="s">
        <v>117</v>
      </c>
      <c r="I37">
        <v>1</v>
      </c>
      <c r="J37">
        <v>163186</v>
      </c>
      <c r="K37">
        <v>87135960</v>
      </c>
      <c r="L37" t="s">
        <v>75</v>
      </c>
      <c r="M37">
        <v>1</v>
      </c>
      <c r="N37">
        <v>2</v>
      </c>
      <c r="O37">
        <v>1</v>
      </c>
      <c r="P37">
        <v>2</v>
      </c>
      <c r="Q37">
        <v>5</v>
      </c>
      <c r="R37">
        <v>0</v>
      </c>
      <c r="S37">
        <v>5</v>
      </c>
      <c r="T37" t="s">
        <v>76</v>
      </c>
      <c r="U37" t="s">
        <v>77</v>
      </c>
      <c r="V37" t="s">
        <v>146</v>
      </c>
      <c r="W37" t="s">
        <v>146</v>
      </c>
      <c r="X37" t="s">
        <v>79</v>
      </c>
      <c r="Y37" t="s">
        <v>80</v>
      </c>
      <c r="Z37" t="s">
        <v>73</v>
      </c>
      <c r="AA37" t="s">
        <v>80</v>
      </c>
      <c r="AB37" t="s">
        <v>80</v>
      </c>
      <c r="AC37" t="s">
        <v>80</v>
      </c>
      <c r="AD37" t="s">
        <v>73</v>
      </c>
      <c r="AE37" t="s">
        <v>73</v>
      </c>
      <c r="AF37" t="s">
        <v>81</v>
      </c>
      <c r="AG37" t="b">
        <v>0</v>
      </c>
      <c r="AH37" t="s">
        <v>73</v>
      </c>
      <c r="AI37" t="s">
        <v>80</v>
      </c>
      <c r="AJ37" t="s">
        <v>82</v>
      </c>
      <c r="AL37">
        <v>1</v>
      </c>
      <c r="AM37">
        <v>0.15</v>
      </c>
      <c r="AN37" t="s">
        <v>83</v>
      </c>
      <c r="AO37" t="s">
        <v>84</v>
      </c>
      <c r="AP37" t="s">
        <v>85</v>
      </c>
      <c r="AQ37" s="1">
        <v>45839</v>
      </c>
      <c r="AR37" s="1">
        <v>45839</v>
      </c>
      <c r="AS37" t="s">
        <v>87</v>
      </c>
      <c r="AT37" t="s">
        <v>87</v>
      </c>
      <c r="AU37" t="s">
        <v>87</v>
      </c>
      <c r="AV37" t="s">
        <v>87</v>
      </c>
      <c r="AW37" t="s">
        <v>87</v>
      </c>
      <c r="AX37" t="s">
        <v>87</v>
      </c>
      <c r="AY37" t="s">
        <v>94</v>
      </c>
      <c r="AZ37">
        <v>5</v>
      </c>
      <c r="BA37" cm="1">
        <f t="array" ref="BA37">_xlfn.IFS(AND(AB37 = "N", AA37 = "N", AF37 &lt;&gt; "Concentrated", AC37 = "N",H37="MARGIN_LOAN"), 10,
AND(AB37 = "N", AA37 = "N", AF37 &lt;&gt; "Concentrated", AC37 = "N",H37="SFT"), 5,
AND(AB37 = "N", AA37 = "N", AF37 &lt;&gt; "Concentrated", AC37 = "Y",H37="MARGIN_LOAN"), 20,
AND(AB37 = "N", AA37 = "N", AF37 &lt;&gt; "Concentrated", AC37 = "Y",H37="SFT"), 10,
AND(AB37 = "Y", AA37 = "N", AF37 &lt;&gt; "Concentrated", AC37 = "N"), 20,
AND(AB37 = "Y", AA37 = "N", AF37 &lt;&gt; "Concentrated", AC37 = "Y"), 40,
AND(AB37 = "N",  OR(AA37 = "Y", AF37 = "Concentrated"), AC37 = "N"), 20,
AND(AB37 = "N",  OR(AA37 = "Y", AF37 = "Concentrated"), AC37 = "Y"), 40,
AND(AB37 = "Y",  OR(AA37 = "Y", AF37 = "Concentrated"), AC37 = "N"), 20,
AND(AB37 = "Y",  OR(AA37 = "Y", AF37 = "Concentrated"), AC37 = "Y"), 40)</f>
        <v>20</v>
      </c>
      <c r="BB37">
        <f t="shared" si="0"/>
        <v>20</v>
      </c>
      <c r="BC37">
        <f t="shared" si="5"/>
        <v>5</v>
      </c>
      <c r="BD37">
        <f t="shared" si="1"/>
        <v>5</v>
      </c>
      <c r="BE37">
        <v>5</v>
      </c>
      <c r="BF37">
        <v>1</v>
      </c>
      <c r="BG37" t="str">
        <f t="shared" si="3"/>
        <v>SCENARIO</v>
      </c>
      <c r="BH37" t="s">
        <v>89</v>
      </c>
      <c r="BI37" t="b">
        <v>1</v>
      </c>
      <c r="BJ37">
        <v>1</v>
      </c>
      <c r="BK37">
        <v>1</v>
      </c>
      <c r="BL37" t="s">
        <v>87</v>
      </c>
      <c r="BM37" t="s">
        <v>87</v>
      </c>
      <c r="BN37">
        <v>10000</v>
      </c>
      <c r="BP37" s="4">
        <v>14013969</v>
      </c>
      <c r="BQ37">
        <v>5</v>
      </c>
      <c r="BR37">
        <v>20</v>
      </c>
      <c r="BS37">
        <v>100000008</v>
      </c>
      <c r="BT37" t="s">
        <v>144</v>
      </c>
    </row>
    <row r="38" spans="1:72" x14ac:dyDescent="0.35">
      <c r="A38" s="1">
        <v>45838</v>
      </c>
      <c r="B38" t="s">
        <v>72</v>
      </c>
      <c r="C38">
        <v>12</v>
      </c>
      <c r="D38">
        <v>100000001</v>
      </c>
      <c r="E38">
        <v>8</v>
      </c>
      <c r="F38">
        <v>8</v>
      </c>
      <c r="G38" t="s">
        <v>73</v>
      </c>
      <c r="H38" t="s">
        <v>117</v>
      </c>
      <c r="I38">
        <v>1</v>
      </c>
      <c r="J38">
        <v>163186</v>
      </c>
      <c r="K38">
        <v>43021897</v>
      </c>
      <c r="L38" t="s">
        <v>75</v>
      </c>
      <c r="M38">
        <v>1</v>
      </c>
      <c r="N38">
        <v>2</v>
      </c>
      <c r="O38">
        <v>1</v>
      </c>
      <c r="P38">
        <v>2</v>
      </c>
      <c r="Q38">
        <v>5</v>
      </c>
      <c r="R38">
        <v>0</v>
      </c>
      <c r="S38">
        <v>20</v>
      </c>
      <c r="T38" t="s">
        <v>76</v>
      </c>
      <c r="U38" t="s">
        <v>77</v>
      </c>
      <c r="V38" t="s">
        <v>147</v>
      </c>
      <c r="W38" t="s">
        <v>147</v>
      </c>
      <c r="X38" t="s">
        <v>79</v>
      </c>
      <c r="Y38" t="s">
        <v>80</v>
      </c>
      <c r="Z38" t="s">
        <v>73</v>
      </c>
      <c r="AA38" t="s">
        <v>73</v>
      </c>
      <c r="AB38" t="s">
        <v>80</v>
      </c>
      <c r="AC38" t="s">
        <v>80</v>
      </c>
      <c r="AD38" t="s">
        <v>73</v>
      </c>
      <c r="AE38" t="s">
        <v>73</v>
      </c>
      <c r="AF38" t="s">
        <v>81</v>
      </c>
      <c r="AG38" t="b">
        <v>0</v>
      </c>
      <c r="AH38" t="s">
        <v>73</v>
      </c>
      <c r="AI38" t="s">
        <v>80</v>
      </c>
      <c r="AJ38" t="s">
        <v>82</v>
      </c>
      <c r="AL38">
        <v>1</v>
      </c>
      <c r="AM38">
        <v>0.25</v>
      </c>
      <c r="AN38" t="s">
        <v>83</v>
      </c>
      <c r="AO38" t="s">
        <v>84</v>
      </c>
      <c r="AP38" t="s">
        <v>85</v>
      </c>
      <c r="AQ38" s="1">
        <v>45841</v>
      </c>
      <c r="AR38" s="1">
        <v>45841</v>
      </c>
      <c r="AS38" t="s">
        <v>87</v>
      </c>
      <c r="AT38" t="s">
        <v>87</v>
      </c>
      <c r="AU38" t="s">
        <v>87</v>
      </c>
      <c r="AV38" t="s">
        <v>87</v>
      </c>
      <c r="AW38" t="s">
        <v>87</v>
      </c>
      <c r="AX38" t="s">
        <v>87</v>
      </c>
      <c r="AY38" t="s">
        <v>88</v>
      </c>
      <c r="AZ38">
        <v>5</v>
      </c>
      <c r="BA38" cm="1">
        <f t="array" ref="BA38">_xlfn.IFS(AND(AB38 = "N", AA38 = "N", AF38 &lt;&gt; "Concentrated", AC38 = "N",H38="MARGIN_LOAN"), 10,
AND(AB38 = "N", AA38 = "N", AF38 &lt;&gt; "Concentrated", AC38 = "N",H38="SFT"), 5,
AND(AB38 = "N", AA38 = "N", AF38 &lt;&gt; "Concentrated", AC38 = "Y",H38="MARGIN_LOAN"), 20,
AND(AB38 = "N", AA38 = "N", AF38 &lt;&gt; "Concentrated", AC38 = "Y",H38="SFT"), 10,
AND(AB38 = "Y", AA38 = "N", AF38 &lt;&gt; "Concentrated", AC38 = "N"), 20,
AND(AB38 = "Y", AA38 = "N", AF38 &lt;&gt; "Concentrated", AC38 = "Y"), 40,
AND(AB38 = "N",  OR(AA38 = "Y", AF38 = "Concentrated"), AC38 = "N"), 20,
AND(AB38 = "N",  OR(AA38 = "Y", AF38 = "Concentrated"), AC38 = "Y"), 40,
AND(AB38 = "Y",  OR(AA38 = "Y", AF38 = "Concentrated"), AC38 = "N"), 20,
AND(AB38 = "Y",  OR(AA38 = "Y", AF38 = "Concentrated"), AC38 = "Y"), 40)</f>
        <v>20</v>
      </c>
      <c r="BB38">
        <f t="shared" si="0"/>
        <v>20</v>
      </c>
      <c r="BC38">
        <f t="shared" si="5"/>
        <v>5</v>
      </c>
      <c r="BD38">
        <f t="shared" si="1"/>
        <v>5</v>
      </c>
      <c r="BE38">
        <v>5</v>
      </c>
      <c r="BF38">
        <v>1</v>
      </c>
      <c r="BG38" t="str">
        <f t="shared" si="3"/>
        <v>SCENARIO</v>
      </c>
      <c r="BH38" t="s">
        <v>89</v>
      </c>
      <c r="BI38" t="b">
        <v>1</v>
      </c>
      <c r="BJ38">
        <v>0</v>
      </c>
      <c r="BK38">
        <v>1</v>
      </c>
      <c r="BL38" t="s">
        <v>87</v>
      </c>
      <c r="BM38" t="s">
        <v>87</v>
      </c>
      <c r="BN38">
        <v>10000</v>
      </c>
      <c r="BP38" s="4">
        <v>4680507</v>
      </c>
      <c r="BQ38">
        <v>5</v>
      </c>
      <c r="BR38">
        <v>20</v>
      </c>
      <c r="BS38">
        <v>100000008</v>
      </c>
      <c r="BT38" t="s">
        <v>144</v>
      </c>
    </row>
    <row r="39" spans="1:72" x14ac:dyDescent="0.35">
      <c r="A39" s="1">
        <v>45838</v>
      </c>
      <c r="B39" t="s">
        <v>72</v>
      </c>
      <c r="C39">
        <v>12</v>
      </c>
      <c r="D39">
        <v>100000001</v>
      </c>
      <c r="E39">
        <v>9</v>
      </c>
      <c r="F39">
        <v>9</v>
      </c>
      <c r="G39" t="s">
        <v>73</v>
      </c>
      <c r="H39" t="s">
        <v>117</v>
      </c>
      <c r="I39">
        <v>1</v>
      </c>
      <c r="J39">
        <v>163186</v>
      </c>
      <c r="K39">
        <v>63057423</v>
      </c>
      <c r="L39" t="s">
        <v>75</v>
      </c>
      <c r="M39">
        <v>1</v>
      </c>
      <c r="N39">
        <v>2</v>
      </c>
      <c r="O39">
        <v>1</v>
      </c>
      <c r="P39">
        <v>2</v>
      </c>
      <c r="Q39">
        <v>5</v>
      </c>
      <c r="R39">
        <v>0</v>
      </c>
      <c r="S39">
        <v>5</v>
      </c>
      <c r="T39" t="s">
        <v>76</v>
      </c>
      <c r="U39" t="s">
        <v>77</v>
      </c>
      <c r="V39" t="s">
        <v>148</v>
      </c>
      <c r="W39" t="s">
        <v>148</v>
      </c>
      <c r="X39" t="s">
        <v>79</v>
      </c>
      <c r="Y39" t="s">
        <v>80</v>
      </c>
      <c r="Z39" t="s">
        <v>73</v>
      </c>
      <c r="AA39" t="s">
        <v>80</v>
      </c>
      <c r="AB39" t="s">
        <v>80</v>
      </c>
      <c r="AC39" t="s">
        <v>80</v>
      </c>
      <c r="AD39" t="s">
        <v>73</v>
      </c>
      <c r="AE39" t="s">
        <v>73</v>
      </c>
      <c r="AF39" t="s">
        <v>81</v>
      </c>
      <c r="AG39" t="b">
        <v>0</v>
      </c>
      <c r="AH39" t="s">
        <v>73</v>
      </c>
      <c r="AI39" t="s">
        <v>80</v>
      </c>
      <c r="AJ39" t="s">
        <v>82</v>
      </c>
      <c r="AL39">
        <v>1</v>
      </c>
      <c r="AM39">
        <v>0.15</v>
      </c>
      <c r="AN39" t="s">
        <v>83</v>
      </c>
      <c r="AO39" t="s">
        <v>84</v>
      </c>
      <c r="AP39" t="s">
        <v>85</v>
      </c>
      <c r="AQ39" s="1">
        <v>45841</v>
      </c>
      <c r="AR39" s="1">
        <v>45841</v>
      </c>
      <c r="AS39" t="s">
        <v>87</v>
      </c>
      <c r="AT39" t="s">
        <v>87</v>
      </c>
      <c r="AU39" t="s">
        <v>87</v>
      </c>
      <c r="AV39" t="s">
        <v>87</v>
      </c>
      <c r="AW39" t="s">
        <v>87</v>
      </c>
      <c r="AX39" t="s">
        <v>87</v>
      </c>
      <c r="AY39" t="s">
        <v>88</v>
      </c>
      <c r="AZ39">
        <v>5</v>
      </c>
      <c r="BA39" cm="1">
        <f t="array" ref="BA39">_xlfn.IFS(AND(AB39 = "N", AA39 = "N", AF39 &lt;&gt; "Concentrated", AC39 = "N",H39="MARGIN_LOAN"), 10,
AND(AB39 = "N", AA39 = "N", AF39 &lt;&gt; "Concentrated", AC39 = "N",H39="SFT"), 5,
AND(AB39 = "N", AA39 = "N", AF39 &lt;&gt; "Concentrated", AC39 = "Y",H39="MARGIN_LOAN"), 20,
AND(AB39 = "N", AA39 = "N", AF39 &lt;&gt; "Concentrated", AC39 = "Y",H39="SFT"), 10,
AND(AB39 = "Y", AA39 = "N", AF39 &lt;&gt; "Concentrated", AC39 = "N"), 20,
AND(AB39 = "Y", AA39 = "N", AF39 &lt;&gt; "Concentrated", AC39 = "Y"), 40,
AND(AB39 = "N",  OR(AA39 = "Y", AF39 = "Concentrated"), AC39 = "N"), 20,
AND(AB39 = "N",  OR(AA39 = "Y", AF39 = "Concentrated"), AC39 = "Y"), 40,
AND(AB39 = "Y",  OR(AA39 = "Y", AF39 = "Concentrated"), AC39 = "N"), 20,
AND(AB39 = "Y",  OR(AA39 = "Y", AF39 = "Concentrated"), AC39 = "Y"), 40)</f>
        <v>20</v>
      </c>
      <c r="BB39">
        <f t="shared" si="0"/>
        <v>20</v>
      </c>
      <c r="BC39">
        <f t="shared" si="5"/>
        <v>5</v>
      </c>
      <c r="BD39">
        <f t="shared" si="1"/>
        <v>5</v>
      </c>
      <c r="BE39">
        <v>5</v>
      </c>
      <c r="BF39">
        <v>1</v>
      </c>
      <c r="BG39" t="str">
        <f t="shared" si="3"/>
        <v>SCENARIO</v>
      </c>
      <c r="BH39" t="s">
        <v>89</v>
      </c>
      <c r="BI39" t="b">
        <v>1</v>
      </c>
      <c r="BJ39">
        <v>1</v>
      </c>
      <c r="BK39">
        <v>1</v>
      </c>
      <c r="BL39" t="s">
        <v>87</v>
      </c>
      <c r="BM39" t="s">
        <v>87</v>
      </c>
      <c r="BN39">
        <v>10000</v>
      </c>
      <c r="BO39">
        <v>0</v>
      </c>
      <c r="BP39" s="4">
        <v>8329834</v>
      </c>
      <c r="BQ39">
        <v>5</v>
      </c>
      <c r="BR39">
        <v>20</v>
      </c>
      <c r="BS39">
        <v>100000009</v>
      </c>
      <c r="BT39" t="s">
        <v>149</v>
      </c>
    </row>
    <row r="40" spans="1:72" x14ac:dyDescent="0.35">
      <c r="A40" s="1">
        <v>45838</v>
      </c>
      <c r="B40" t="s">
        <v>72</v>
      </c>
      <c r="C40">
        <v>12</v>
      </c>
      <c r="D40">
        <v>100000001</v>
      </c>
      <c r="E40">
        <v>9</v>
      </c>
      <c r="F40">
        <v>9</v>
      </c>
      <c r="G40" t="s">
        <v>73</v>
      </c>
      <c r="H40" t="s">
        <v>117</v>
      </c>
      <c r="I40">
        <v>15</v>
      </c>
      <c r="J40">
        <v>163186</v>
      </c>
      <c r="K40">
        <v>15842971</v>
      </c>
      <c r="L40" t="s">
        <v>75</v>
      </c>
      <c r="M40">
        <v>1</v>
      </c>
      <c r="N40">
        <v>2</v>
      </c>
      <c r="O40">
        <v>1</v>
      </c>
      <c r="P40">
        <v>2</v>
      </c>
      <c r="Q40">
        <v>5</v>
      </c>
      <c r="R40">
        <v>0</v>
      </c>
      <c r="S40">
        <v>5</v>
      </c>
      <c r="T40" t="s">
        <v>76</v>
      </c>
      <c r="U40" t="s">
        <v>77</v>
      </c>
      <c r="V40" t="s">
        <v>150</v>
      </c>
      <c r="W40" t="s">
        <v>150</v>
      </c>
      <c r="X40" t="s">
        <v>79</v>
      </c>
      <c r="Y40" t="s">
        <v>80</v>
      </c>
      <c r="Z40" t="s">
        <v>73</v>
      </c>
      <c r="AA40" t="s">
        <v>80</v>
      </c>
      <c r="AB40" t="s">
        <v>80</v>
      </c>
      <c r="AC40" t="s">
        <v>80</v>
      </c>
      <c r="AD40" t="s">
        <v>73</v>
      </c>
      <c r="AE40" t="s">
        <v>73</v>
      </c>
      <c r="AF40" t="s">
        <v>81</v>
      </c>
      <c r="AG40" t="b">
        <v>0</v>
      </c>
      <c r="AH40" t="s">
        <v>73</v>
      </c>
      <c r="AI40" t="s">
        <v>80</v>
      </c>
      <c r="AJ40" t="s">
        <v>82</v>
      </c>
      <c r="AL40">
        <v>1</v>
      </c>
      <c r="AM40">
        <v>0.25</v>
      </c>
      <c r="AN40" t="s">
        <v>83</v>
      </c>
      <c r="AO40" t="s">
        <v>84</v>
      </c>
      <c r="AP40" t="s">
        <v>85</v>
      </c>
      <c r="AQ40" s="1">
        <v>45841</v>
      </c>
      <c r="AR40" s="1">
        <v>45841</v>
      </c>
      <c r="AS40" t="s">
        <v>87</v>
      </c>
      <c r="AT40" t="s">
        <v>87</v>
      </c>
      <c r="AU40" t="s">
        <v>87</v>
      </c>
      <c r="AW40" t="s">
        <v>87</v>
      </c>
      <c r="AX40" t="s">
        <v>87</v>
      </c>
      <c r="AY40" t="s">
        <v>94</v>
      </c>
      <c r="AZ40">
        <v>5</v>
      </c>
      <c r="BA40" cm="1">
        <f t="array" ref="BA40">_xlfn.IFS(AND(AB40 = "N", AA40 = "N", AF40 &lt;&gt; "Concentrated", AC40 = "N",H40="MARGIN_LOAN"), 10,
AND(AB40 = "N", AA40 = "N", AF40 &lt;&gt; "Concentrated", AC40 = "N",H40="SFT"), 5,
AND(AB40 = "N", AA40 = "N", AF40 &lt;&gt; "Concentrated", AC40 = "Y",H40="MARGIN_LOAN"), 20,
AND(AB40 = "N", AA40 = "N", AF40 &lt;&gt; "Concentrated", AC40 = "Y",H40="SFT"), 10,
AND(AB40 = "Y", AA40 = "N", AF40 &lt;&gt; "Concentrated", AC40 = "N"), 20,
AND(AB40 = "Y", AA40 = "N", AF40 &lt;&gt; "Concentrated", AC40 = "Y"), 40,
AND(AB40 = "N",  OR(AA40 = "Y", AF40 = "Concentrated"), AC40 = "N"), 20,
AND(AB40 = "N",  OR(AA40 = "Y", AF40 = "Concentrated"), AC40 = "Y"), 40,
AND(AB40 = "Y",  OR(AA40 = "Y", AF40 = "Concentrated"), AC40 = "N"), 20,
AND(AB40 = "Y",  OR(AA40 = "Y", AF40 = "Concentrated"), AC40 = "Y"), 40)</f>
        <v>20</v>
      </c>
      <c r="BB40">
        <f t="shared" si="0"/>
        <v>20</v>
      </c>
      <c r="BC40">
        <f t="shared" si="5"/>
        <v>5</v>
      </c>
      <c r="BD40">
        <f t="shared" si="1"/>
        <v>5</v>
      </c>
      <c r="BE40">
        <v>5</v>
      </c>
      <c r="BF40">
        <v>1</v>
      </c>
      <c r="BG40" t="str">
        <f t="shared" si="3"/>
        <v>SCENARIO</v>
      </c>
      <c r="BH40" t="s">
        <v>89</v>
      </c>
      <c r="BI40" t="b">
        <v>1</v>
      </c>
      <c r="BJ40">
        <v>1</v>
      </c>
      <c r="BK40">
        <v>1</v>
      </c>
      <c r="BL40" t="s">
        <v>87</v>
      </c>
      <c r="BN40">
        <v>10000</v>
      </c>
      <c r="BO40">
        <v>0</v>
      </c>
      <c r="BP40" s="4">
        <v>5078329</v>
      </c>
      <c r="BQ40">
        <v>5</v>
      </c>
      <c r="BR40">
        <v>20</v>
      </c>
      <c r="BS40">
        <v>100000009</v>
      </c>
      <c r="BT40" t="s">
        <v>149</v>
      </c>
    </row>
    <row r="41" spans="1:72" x14ac:dyDescent="0.35">
      <c r="A41" s="1">
        <v>45838</v>
      </c>
      <c r="B41" t="s">
        <v>72</v>
      </c>
      <c r="C41">
        <v>12</v>
      </c>
      <c r="D41">
        <v>100000001</v>
      </c>
      <c r="E41">
        <v>9</v>
      </c>
      <c r="F41">
        <v>9</v>
      </c>
      <c r="G41" t="s">
        <v>73</v>
      </c>
      <c r="H41" t="s">
        <v>117</v>
      </c>
      <c r="I41">
        <v>1</v>
      </c>
      <c r="J41">
        <v>163186</v>
      </c>
      <c r="K41">
        <v>297530132</v>
      </c>
      <c r="L41" t="s">
        <v>75</v>
      </c>
      <c r="M41">
        <v>1</v>
      </c>
      <c r="N41">
        <v>2</v>
      </c>
      <c r="O41">
        <v>1</v>
      </c>
      <c r="P41">
        <v>2</v>
      </c>
      <c r="Q41">
        <v>5</v>
      </c>
      <c r="R41">
        <v>0</v>
      </c>
      <c r="S41">
        <v>5</v>
      </c>
      <c r="T41" t="s">
        <v>76</v>
      </c>
      <c r="U41" t="s">
        <v>77</v>
      </c>
      <c r="V41" t="s">
        <v>151</v>
      </c>
      <c r="W41" t="s">
        <v>151</v>
      </c>
      <c r="X41" t="s">
        <v>79</v>
      </c>
      <c r="Y41" t="s">
        <v>80</v>
      </c>
      <c r="Z41" t="s">
        <v>73</v>
      </c>
      <c r="AA41" t="s">
        <v>80</v>
      </c>
      <c r="AB41" t="s">
        <v>80</v>
      </c>
      <c r="AC41" t="s">
        <v>80</v>
      </c>
      <c r="AD41" t="s">
        <v>73</v>
      </c>
      <c r="AE41" t="s">
        <v>73</v>
      </c>
      <c r="AF41" t="s">
        <v>81</v>
      </c>
      <c r="AG41" t="b">
        <v>0</v>
      </c>
      <c r="AH41" t="s">
        <v>73</v>
      </c>
      <c r="AI41" t="s">
        <v>80</v>
      </c>
      <c r="AJ41" t="s">
        <v>82</v>
      </c>
      <c r="AL41">
        <v>1</v>
      </c>
      <c r="AM41">
        <v>0.25</v>
      </c>
      <c r="AN41" t="s">
        <v>83</v>
      </c>
      <c r="AO41" t="s">
        <v>84</v>
      </c>
      <c r="AP41" t="s">
        <v>85</v>
      </c>
      <c r="AQ41" s="1">
        <v>45841</v>
      </c>
      <c r="AR41" s="1">
        <v>45841</v>
      </c>
      <c r="AY41" t="s">
        <v>94</v>
      </c>
      <c r="AZ41">
        <v>5</v>
      </c>
      <c r="BA41" cm="1">
        <f t="array" ref="BA41">_xlfn.IFS(AND(AB41 = "N", AA41 = "N", AF41 &lt;&gt; "Concentrated", AC41 = "N",H41="MARGIN_LOAN"), 10,
AND(AB41 = "N", AA41 = "N", AF41 &lt;&gt; "Concentrated", AC41 = "N",H41="SFT"), 5,
AND(AB41 = "N", AA41 = "N", AF41 &lt;&gt; "Concentrated", AC41 = "Y",H41="MARGIN_LOAN"), 20,
AND(AB41 = "N", AA41 = "N", AF41 &lt;&gt; "Concentrated", AC41 = "Y",H41="SFT"), 10,
AND(AB41 = "Y", AA41 = "N", AF41 &lt;&gt; "Concentrated", AC41 = "N"), 20,
AND(AB41 = "Y", AA41 = "N", AF41 &lt;&gt; "Concentrated", AC41 = "Y"), 40,
AND(AB41 = "N",  OR(AA41 = "Y", AF41 = "Concentrated"), AC41 = "N"), 20,
AND(AB41 = "N",  OR(AA41 = "Y", AF41 = "Concentrated"), AC41 = "Y"), 40,
AND(AB41 = "Y",  OR(AA41 = "Y", AF41 = "Concentrated"), AC41 = "N"), 20,
AND(AB41 = "Y",  OR(AA41 = "Y", AF41 = "Concentrated"), AC41 = "Y"), 40)</f>
        <v>20</v>
      </c>
      <c r="BB41">
        <f t="shared" si="0"/>
        <v>20</v>
      </c>
      <c r="BC41">
        <f t="shared" si="5"/>
        <v>5</v>
      </c>
      <c r="BD41">
        <f t="shared" si="1"/>
        <v>5</v>
      </c>
      <c r="BE41">
        <v>5</v>
      </c>
      <c r="BF41">
        <v>1</v>
      </c>
      <c r="BG41" t="str">
        <f t="shared" si="3"/>
        <v>SCENARIO</v>
      </c>
      <c r="BH41" t="s">
        <v>89</v>
      </c>
      <c r="BI41" t="b">
        <v>1</v>
      </c>
      <c r="BJ41">
        <v>1</v>
      </c>
      <c r="BK41">
        <v>1</v>
      </c>
      <c r="BL41" t="s">
        <v>87</v>
      </c>
      <c r="BM41" t="s">
        <v>87</v>
      </c>
      <c r="BN41">
        <v>10000</v>
      </c>
      <c r="BO41">
        <v>0</v>
      </c>
      <c r="BP41" s="4">
        <v>28000000</v>
      </c>
      <c r="BQ41">
        <v>5</v>
      </c>
      <c r="BR41">
        <v>20</v>
      </c>
      <c r="BS41">
        <v>100000009</v>
      </c>
      <c r="BT41" t="s">
        <v>149</v>
      </c>
    </row>
    <row r="42" spans="1:72" x14ac:dyDescent="0.35">
      <c r="A42" s="1">
        <v>45838</v>
      </c>
      <c r="B42" t="s">
        <v>72</v>
      </c>
      <c r="C42">
        <v>12</v>
      </c>
      <c r="D42">
        <v>100000001</v>
      </c>
      <c r="E42">
        <v>10</v>
      </c>
      <c r="F42">
        <v>10</v>
      </c>
      <c r="G42" t="s">
        <v>73</v>
      </c>
      <c r="H42" t="s">
        <v>117</v>
      </c>
      <c r="I42">
        <v>1</v>
      </c>
      <c r="J42">
        <v>163186</v>
      </c>
      <c r="K42">
        <v>78630255</v>
      </c>
      <c r="L42" t="s">
        <v>75</v>
      </c>
      <c r="M42">
        <v>1</v>
      </c>
      <c r="N42">
        <v>2</v>
      </c>
      <c r="O42">
        <v>1</v>
      </c>
      <c r="P42">
        <v>2</v>
      </c>
      <c r="Q42">
        <v>5</v>
      </c>
      <c r="R42">
        <v>0</v>
      </c>
      <c r="S42">
        <v>5</v>
      </c>
      <c r="T42" t="s">
        <v>76</v>
      </c>
      <c r="U42" t="s">
        <v>77</v>
      </c>
      <c r="V42" t="s">
        <v>152</v>
      </c>
      <c r="W42" t="s">
        <v>152</v>
      </c>
      <c r="X42" t="s">
        <v>79</v>
      </c>
      <c r="Y42" t="s">
        <v>80</v>
      </c>
      <c r="Z42" t="s">
        <v>73</v>
      </c>
      <c r="AA42" t="s">
        <v>80</v>
      </c>
      <c r="AB42" t="s">
        <v>80</v>
      </c>
      <c r="AC42" t="s">
        <v>80</v>
      </c>
      <c r="AD42" t="s">
        <v>73</v>
      </c>
      <c r="AE42" t="s">
        <v>73</v>
      </c>
      <c r="AF42" t="s">
        <v>81</v>
      </c>
      <c r="AG42" t="b">
        <v>0</v>
      </c>
      <c r="AH42" t="s">
        <v>73</v>
      </c>
      <c r="AI42" t="s">
        <v>80</v>
      </c>
      <c r="AJ42" t="s">
        <v>82</v>
      </c>
      <c r="AL42">
        <v>1</v>
      </c>
      <c r="AM42">
        <v>0.25</v>
      </c>
      <c r="AN42" t="s">
        <v>83</v>
      </c>
      <c r="AO42" t="s">
        <v>84</v>
      </c>
      <c r="AP42" t="s">
        <v>85</v>
      </c>
      <c r="AQ42" s="1">
        <v>45841</v>
      </c>
      <c r="AR42" s="1">
        <v>45841</v>
      </c>
      <c r="AS42" t="s">
        <v>87</v>
      </c>
      <c r="AT42" t="s">
        <v>87</v>
      </c>
      <c r="AU42" t="s">
        <v>87</v>
      </c>
      <c r="AV42" t="s">
        <v>87</v>
      </c>
      <c r="AW42" t="s">
        <v>87</v>
      </c>
      <c r="AX42" t="s">
        <v>87</v>
      </c>
      <c r="AY42" t="s">
        <v>94</v>
      </c>
      <c r="AZ42">
        <v>5</v>
      </c>
      <c r="BA42" cm="1">
        <f t="array" ref="BA42">_xlfn.IFS(AND(AB42 = "N", AA42 = "N", AF42 &lt;&gt; "Concentrated", AC42 = "N",H42="MARGIN_LOAN"), 10,
AND(AB42 = "N", AA42 = "N", AF42 &lt;&gt; "Concentrated", AC42 = "N",H42="SFT"), 5,
AND(AB42 = "N", AA42 = "N", AF42 &lt;&gt; "Concentrated", AC42 = "Y",H42="MARGIN_LOAN"), 20,
AND(AB42 = "N", AA42 = "N", AF42 &lt;&gt; "Concentrated", AC42 = "Y",H42="SFT"), 10,
AND(AB42 = "Y", AA42 = "N", AF42 &lt;&gt; "Concentrated", AC42 = "N"), 20,
AND(AB42 = "Y", AA42 = "N", AF42 &lt;&gt; "Concentrated", AC42 = "Y"), 40,
AND(AB42 = "N",  OR(AA42 = "Y", AF42 = "Concentrated"), AC42 = "N"), 20,
AND(AB42 = "N",  OR(AA42 = "Y", AF42 = "Concentrated"), AC42 = "Y"), 40,
AND(AB42 = "Y",  OR(AA42 = "Y", AF42 = "Concentrated"), AC42 = "N"), 20,
AND(AB42 = "Y",  OR(AA42 = "Y", AF42 = "Concentrated"), AC42 = "Y"), 40)</f>
        <v>20</v>
      </c>
      <c r="BB42">
        <f t="shared" si="0"/>
        <v>20</v>
      </c>
      <c r="BC42">
        <f t="shared" si="5"/>
        <v>5</v>
      </c>
      <c r="BD42">
        <f t="shared" si="1"/>
        <v>5</v>
      </c>
      <c r="BE42">
        <v>5</v>
      </c>
      <c r="BF42">
        <v>1</v>
      </c>
      <c r="BG42" t="str">
        <f t="shared" si="3"/>
        <v>SCENARIO</v>
      </c>
      <c r="BH42" t="s">
        <v>89</v>
      </c>
      <c r="BI42" t="b">
        <v>1</v>
      </c>
      <c r="BJ42">
        <v>1</v>
      </c>
      <c r="BK42">
        <v>1</v>
      </c>
      <c r="BL42" t="s">
        <v>87</v>
      </c>
      <c r="BM42" t="s">
        <v>87</v>
      </c>
      <c r="BN42">
        <v>8000</v>
      </c>
      <c r="BP42" s="4">
        <v>8799782</v>
      </c>
      <c r="BQ42">
        <v>5</v>
      </c>
      <c r="BR42">
        <v>20</v>
      </c>
      <c r="BS42">
        <v>100000010</v>
      </c>
      <c r="BT42" t="s">
        <v>153</v>
      </c>
    </row>
    <row r="43" spans="1:72" x14ac:dyDescent="0.35">
      <c r="A43" s="1">
        <v>45838</v>
      </c>
      <c r="B43" t="s">
        <v>72</v>
      </c>
      <c r="C43">
        <v>12</v>
      </c>
      <c r="D43">
        <v>100000001</v>
      </c>
      <c r="E43">
        <v>10</v>
      </c>
      <c r="F43">
        <v>10</v>
      </c>
      <c r="G43" t="s">
        <v>73</v>
      </c>
      <c r="H43" t="s">
        <v>117</v>
      </c>
      <c r="I43">
        <v>1</v>
      </c>
      <c r="J43">
        <v>163186</v>
      </c>
      <c r="K43">
        <v>45918726</v>
      </c>
      <c r="L43" t="s">
        <v>75</v>
      </c>
      <c r="M43">
        <v>1</v>
      </c>
      <c r="N43">
        <v>2</v>
      </c>
      <c r="O43">
        <v>1</v>
      </c>
      <c r="P43">
        <v>2</v>
      </c>
      <c r="Q43">
        <v>5</v>
      </c>
      <c r="R43">
        <v>0</v>
      </c>
      <c r="S43">
        <v>5</v>
      </c>
      <c r="T43" t="s">
        <v>76</v>
      </c>
      <c r="U43" t="s">
        <v>77</v>
      </c>
      <c r="V43" t="s">
        <v>154</v>
      </c>
      <c r="W43" t="s">
        <v>154</v>
      </c>
      <c r="X43" t="s">
        <v>79</v>
      </c>
      <c r="Y43" t="s">
        <v>80</v>
      </c>
      <c r="Z43" s="2" t="s">
        <v>80</v>
      </c>
      <c r="AA43" t="s">
        <v>80</v>
      </c>
      <c r="AB43" t="s">
        <v>80</v>
      </c>
      <c r="AC43" t="s">
        <v>80</v>
      </c>
      <c r="AD43" t="s">
        <v>73</v>
      </c>
      <c r="AE43" t="s">
        <v>73</v>
      </c>
      <c r="AF43" t="s">
        <v>81</v>
      </c>
      <c r="AG43" t="b">
        <v>0</v>
      </c>
      <c r="AH43" t="s">
        <v>73</v>
      </c>
      <c r="AI43" t="s">
        <v>80</v>
      </c>
      <c r="AJ43" t="s">
        <v>82</v>
      </c>
      <c r="AK43" t="s">
        <v>93</v>
      </c>
      <c r="AL43">
        <v>1</v>
      </c>
      <c r="AM43">
        <v>0.25</v>
      </c>
      <c r="AN43" t="s">
        <v>83</v>
      </c>
      <c r="AO43" t="s">
        <v>84</v>
      </c>
      <c r="AP43" t="s">
        <v>85</v>
      </c>
      <c r="AQ43" s="1">
        <v>45841</v>
      </c>
      <c r="AR43" s="1">
        <v>45841</v>
      </c>
      <c r="AS43" t="s">
        <v>87</v>
      </c>
      <c r="AT43" t="s">
        <v>87</v>
      </c>
      <c r="AU43" t="s">
        <v>87</v>
      </c>
      <c r="AV43" t="s">
        <v>87</v>
      </c>
      <c r="AW43" t="s">
        <v>87</v>
      </c>
      <c r="AX43" t="s">
        <v>87</v>
      </c>
      <c r="AY43" t="s">
        <v>88</v>
      </c>
      <c r="AZ43">
        <v>5</v>
      </c>
      <c r="BA43" cm="1">
        <f t="array" ref="BA43">_xlfn.IFS(AND(AB43 = "N", AA43 = "N", AF43 &lt;&gt; "Concentrated", AC43 = "N",H43="MARGIN_LOAN"), 10,
AND(AB43 = "N", AA43 = "N", AF43 &lt;&gt; "Concentrated", AC43 = "N",H43="SFT"), 5,
AND(AB43 = "N", AA43 = "N", AF43 &lt;&gt; "Concentrated", AC43 = "Y",H43="MARGIN_LOAN"), 20,
AND(AB43 = "N", AA43 = "N", AF43 &lt;&gt; "Concentrated", AC43 = "Y",H43="SFT"), 10,
AND(AB43 = "Y", AA43 = "N", AF43 &lt;&gt; "Concentrated", AC43 = "N"), 20,
AND(AB43 = "Y", AA43 = "N", AF43 &lt;&gt; "Concentrated", AC43 = "Y"), 40,
AND(AB43 = "N",  OR(AA43 = "Y", AF43 = "Concentrated"), AC43 = "N"), 20,
AND(AB43 = "N",  OR(AA43 = "Y", AF43 = "Concentrated"), AC43 = "Y"), 40,
AND(AB43 = "Y",  OR(AA43 = "Y", AF43 = "Concentrated"), AC43 = "N"), 20,
AND(AB43 = "Y",  OR(AA43 = "Y", AF43 = "Concentrated"), AC43 = "Y"), 40)</f>
        <v>20</v>
      </c>
      <c r="BB43">
        <f t="shared" si="0"/>
        <v>20</v>
      </c>
      <c r="BC43">
        <f t="shared" si="5"/>
        <v>5</v>
      </c>
      <c r="BD43">
        <f t="shared" si="1"/>
        <v>5</v>
      </c>
      <c r="BE43">
        <v>5</v>
      </c>
      <c r="BF43">
        <v>1</v>
      </c>
      <c r="BG43" t="str">
        <f t="shared" si="3"/>
        <v>SCENARIO</v>
      </c>
      <c r="BH43" t="s">
        <v>89</v>
      </c>
      <c r="BI43" t="b">
        <v>1</v>
      </c>
      <c r="BJ43">
        <v>1</v>
      </c>
      <c r="BK43">
        <v>1</v>
      </c>
      <c r="BL43" t="s">
        <v>87</v>
      </c>
      <c r="BM43" t="s">
        <v>87</v>
      </c>
      <c r="BN43">
        <v>1000</v>
      </c>
      <c r="BP43" s="4">
        <v>1316465</v>
      </c>
      <c r="BQ43">
        <v>5</v>
      </c>
      <c r="BR43">
        <v>20</v>
      </c>
      <c r="BS43">
        <v>100000010</v>
      </c>
      <c r="BT43" t="s">
        <v>153</v>
      </c>
    </row>
    <row r="44" spans="1:72" x14ac:dyDescent="0.35">
      <c r="A44" s="1">
        <v>45838</v>
      </c>
      <c r="B44" t="s">
        <v>72</v>
      </c>
      <c r="C44">
        <v>12</v>
      </c>
      <c r="D44">
        <v>100000001</v>
      </c>
      <c r="E44">
        <v>10</v>
      </c>
      <c r="F44">
        <v>10</v>
      </c>
      <c r="G44" t="s">
        <v>73</v>
      </c>
      <c r="H44" t="s">
        <v>117</v>
      </c>
      <c r="I44">
        <v>15</v>
      </c>
      <c r="J44">
        <v>163186</v>
      </c>
      <c r="K44">
        <v>98026346</v>
      </c>
      <c r="L44" t="s">
        <v>75</v>
      </c>
      <c r="M44">
        <v>1</v>
      </c>
      <c r="N44">
        <v>2</v>
      </c>
      <c r="O44">
        <v>1</v>
      </c>
      <c r="P44">
        <v>2</v>
      </c>
      <c r="Q44">
        <v>5</v>
      </c>
      <c r="R44">
        <v>0</v>
      </c>
      <c r="S44">
        <v>5</v>
      </c>
      <c r="T44" t="s">
        <v>76</v>
      </c>
      <c r="U44" t="s">
        <v>77</v>
      </c>
      <c r="V44" t="s">
        <v>155</v>
      </c>
      <c r="W44" t="s">
        <v>155</v>
      </c>
      <c r="X44" t="s">
        <v>79</v>
      </c>
      <c r="Y44" t="s">
        <v>80</v>
      </c>
      <c r="Z44" t="s">
        <v>73</v>
      </c>
      <c r="AA44" t="s">
        <v>80</v>
      </c>
      <c r="AB44" t="s">
        <v>80</v>
      </c>
      <c r="AC44" t="s">
        <v>80</v>
      </c>
      <c r="AD44" t="s">
        <v>73</v>
      </c>
      <c r="AE44" t="s">
        <v>73</v>
      </c>
      <c r="AF44" t="s">
        <v>81</v>
      </c>
      <c r="AG44" t="b">
        <v>0</v>
      </c>
      <c r="AH44" t="s">
        <v>73</v>
      </c>
      <c r="AI44" t="s">
        <v>80</v>
      </c>
      <c r="AJ44" t="s">
        <v>82</v>
      </c>
      <c r="AL44">
        <v>1</v>
      </c>
      <c r="AM44">
        <v>0.25</v>
      </c>
      <c r="AN44" t="s">
        <v>83</v>
      </c>
      <c r="AO44" t="s">
        <v>84</v>
      </c>
      <c r="AP44" t="s">
        <v>85</v>
      </c>
      <c r="AQ44" s="1">
        <v>45841</v>
      </c>
      <c r="AR44" s="1">
        <v>45841</v>
      </c>
      <c r="AS44" t="s">
        <v>87</v>
      </c>
      <c r="AT44" t="s">
        <v>87</v>
      </c>
      <c r="AV44" t="s">
        <v>87</v>
      </c>
      <c r="AW44" t="s">
        <v>87</v>
      </c>
      <c r="AX44" t="s">
        <v>87</v>
      </c>
      <c r="AY44" t="s">
        <v>88</v>
      </c>
      <c r="AZ44">
        <v>5</v>
      </c>
      <c r="BA44" cm="1">
        <f t="array" ref="BA44">_xlfn.IFS(AND(AB44 = "N", AA44 = "N", AF44 &lt;&gt; "Concentrated", AC44 = "N",H44="MARGIN_LOAN"), 10,
AND(AB44 = "N", AA44 = "N", AF44 &lt;&gt; "Concentrated", AC44 = "N",H44="SFT"), 5,
AND(AB44 = "N", AA44 = "N", AF44 &lt;&gt; "Concentrated", AC44 = "Y",H44="MARGIN_LOAN"), 20,
AND(AB44 = "N", AA44 = "N", AF44 &lt;&gt; "Concentrated", AC44 = "Y",H44="SFT"), 10,
AND(AB44 = "Y", AA44 = "N", AF44 &lt;&gt; "Concentrated", AC44 = "N"), 20,
AND(AB44 = "Y", AA44 = "N", AF44 &lt;&gt; "Concentrated", AC44 = "Y"), 40,
AND(AB44 = "N",  OR(AA44 = "Y", AF44 = "Concentrated"), AC44 = "N"), 20,
AND(AB44 = "N",  OR(AA44 = "Y", AF44 = "Concentrated"), AC44 = "Y"), 40,
AND(AB44 = "Y",  OR(AA44 = "Y", AF44 = "Concentrated"), AC44 = "N"), 20,
AND(AB44 = "Y",  OR(AA44 = "Y", AF44 = "Concentrated"), AC44 = "Y"), 40)</f>
        <v>20</v>
      </c>
      <c r="BB44">
        <f t="shared" si="0"/>
        <v>20</v>
      </c>
      <c r="BC44">
        <f t="shared" si="5"/>
        <v>5</v>
      </c>
      <c r="BD44">
        <f t="shared" si="1"/>
        <v>5</v>
      </c>
      <c r="BE44">
        <v>5</v>
      </c>
      <c r="BF44">
        <v>1</v>
      </c>
      <c r="BG44" t="str">
        <f t="shared" si="3"/>
        <v>SCENARIO</v>
      </c>
      <c r="BH44" t="s">
        <v>89</v>
      </c>
      <c r="BI44" t="b">
        <v>1</v>
      </c>
      <c r="BJ44">
        <v>1</v>
      </c>
      <c r="BK44">
        <v>1</v>
      </c>
      <c r="BM44" t="s">
        <v>87</v>
      </c>
      <c r="BN44">
        <v>20000</v>
      </c>
      <c r="BP44" s="4">
        <v>1584420</v>
      </c>
      <c r="BQ44">
        <v>5</v>
      </c>
      <c r="BR44">
        <v>20</v>
      </c>
      <c r="BS44">
        <v>100000010</v>
      </c>
      <c r="BT44" t="s">
        <v>153</v>
      </c>
    </row>
    <row r="45" spans="1:72" x14ac:dyDescent="0.35">
      <c r="A45" s="1">
        <v>45838</v>
      </c>
      <c r="B45" t="s">
        <v>72</v>
      </c>
      <c r="C45">
        <v>12</v>
      </c>
      <c r="D45">
        <v>100000001</v>
      </c>
      <c r="E45">
        <v>10</v>
      </c>
      <c r="F45">
        <v>10</v>
      </c>
      <c r="G45" t="s">
        <v>73</v>
      </c>
      <c r="H45" t="s">
        <v>117</v>
      </c>
      <c r="I45">
        <v>1</v>
      </c>
      <c r="J45">
        <v>163186</v>
      </c>
      <c r="K45">
        <v>81371582</v>
      </c>
      <c r="L45" t="s">
        <v>75</v>
      </c>
      <c r="M45">
        <v>1</v>
      </c>
      <c r="N45">
        <v>2</v>
      </c>
      <c r="O45">
        <v>1</v>
      </c>
      <c r="P45">
        <v>2</v>
      </c>
      <c r="Q45">
        <v>5</v>
      </c>
      <c r="R45">
        <v>0</v>
      </c>
      <c r="S45">
        <v>40</v>
      </c>
      <c r="T45" t="s">
        <v>76</v>
      </c>
      <c r="U45" t="s">
        <v>77</v>
      </c>
      <c r="V45" t="s">
        <v>156</v>
      </c>
      <c r="W45" t="s">
        <v>156</v>
      </c>
      <c r="X45" t="s">
        <v>79</v>
      </c>
      <c r="Y45" t="s">
        <v>80</v>
      </c>
      <c r="Z45" t="s">
        <v>73</v>
      </c>
      <c r="AA45" t="s">
        <v>73</v>
      </c>
      <c r="AB45" t="s">
        <v>80</v>
      </c>
      <c r="AC45" t="s">
        <v>80</v>
      </c>
      <c r="AD45" t="s">
        <v>73</v>
      </c>
      <c r="AE45" t="s">
        <v>73</v>
      </c>
      <c r="AF45" t="s">
        <v>81</v>
      </c>
      <c r="AG45" t="b">
        <v>0</v>
      </c>
      <c r="AH45" t="s">
        <v>73</v>
      </c>
      <c r="AI45" t="s">
        <v>80</v>
      </c>
      <c r="AJ45" t="s">
        <v>82</v>
      </c>
      <c r="AL45">
        <v>1</v>
      </c>
      <c r="AM45">
        <v>0.25</v>
      </c>
      <c r="AN45" t="s">
        <v>83</v>
      </c>
      <c r="AO45" t="s">
        <v>84</v>
      </c>
      <c r="AP45" t="s">
        <v>85</v>
      </c>
      <c r="AQ45" s="1">
        <v>45841</v>
      </c>
      <c r="AR45" s="1">
        <v>45841</v>
      </c>
      <c r="AS45" t="s">
        <v>87</v>
      </c>
      <c r="AT45" t="s">
        <v>87</v>
      </c>
      <c r="AU45" t="s">
        <v>87</v>
      </c>
      <c r="AV45" t="s">
        <v>87</v>
      </c>
      <c r="AW45" t="s">
        <v>87</v>
      </c>
      <c r="AX45" t="s">
        <v>87</v>
      </c>
      <c r="AY45" t="s">
        <v>88</v>
      </c>
      <c r="AZ45">
        <v>5</v>
      </c>
      <c r="BA45" cm="1">
        <f t="array" ref="BA45">_xlfn.IFS(AND(AB45 = "N", AA45 = "N", AF45 &lt;&gt; "Concentrated", AC45 = "N",H45="MARGIN_LOAN"), 10,
AND(AB45 = "N", AA45 = "N", AF45 &lt;&gt; "Concentrated", AC45 = "N",H45="SFT"), 5,
AND(AB45 = "N", AA45 = "N", AF45 &lt;&gt; "Concentrated", AC45 = "Y",H45="MARGIN_LOAN"), 20,
AND(AB45 = "N", AA45 = "N", AF45 &lt;&gt; "Concentrated", AC45 = "Y",H45="SFT"), 10,
AND(AB45 = "Y", AA45 = "N", AF45 &lt;&gt; "Concentrated", AC45 = "N"), 20,
AND(AB45 = "Y", AA45 = "N", AF45 &lt;&gt; "Concentrated", AC45 = "Y"), 40,
AND(AB45 = "N",  OR(AA45 = "Y", AF45 = "Concentrated"), AC45 = "N"), 20,
AND(AB45 = "N",  OR(AA45 = "Y", AF45 = "Concentrated"), AC45 = "Y"), 40,
AND(AB45 = "Y",  OR(AA45 = "Y", AF45 = "Concentrated"), AC45 = "N"), 20,
AND(AB45 = "Y",  OR(AA45 = "Y", AF45 = "Concentrated"), AC45 = "Y"), 40)</f>
        <v>20</v>
      </c>
      <c r="BB45">
        <f t="shared" si="0"/>
        <v>20</v>
      </c>
      <c r="BC45">
        <f t="shared" si="5"/>
        <v>5</v>
      </c>
      <c r="BD45">
        <f t="shared" si="1"/>
        <v>5</v>
      </c>
      <c r="BE45">
        <v>5</v>
      </c>
      <c r="BF45">
        <v>1</v>
      </c>
      <c r="BG45" t="str">
        <f t="shared" si="3"/>
        <v>SCENARIO</v>
      </c>
      <c r="BH45" t="s">
        <v>89</v>
      </c>
      <c r="BI45" t="b">
        <v>1</v>
      </c>
      <c r="BJ45">
        <v>0</v>
      </c>
      <c r="BK45">
        <v>1</v>
      </c>
      <c r="BL45" t="s">
        <v>87</v>
      </c>
      <c r="BM45" t="s">
        <v>87</v>
      </c>
      <c r="BN45">
        <v>20000</v>
      </c>
      <c r="BP45" s="4">
        <v>19029</v>
      </c>
      <c r="BQ45">
        <v>5</v>
      </c>
      <c r="BR45">
        <v>20</v>
      </c>
      <c r="BS45">
        <v>100000010</v>
      </c>
      <c r="BT45" t="s">
        <v>153</v>
      </c>
    </row>
  </sheetData>
  <autoFilter ref="A1:BT45" xr:uid="{FE154695-4514-4425-BC50-C5F252A6A7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data_1</vt:lpstr>
      <vt:lpstr>data_2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 Liu</cp:lastModifiedBy>
  <dcterms:created xsi:type="dcterms:W3CDTF">2025-11-10T03:07:30Z</dcterms:created>
  <dcterms:modified xsi:type="dcterms:W3CDTF">2025-11-20T14:29:03Z</dcterms:modified>
</cp:coreProperties>
</file>