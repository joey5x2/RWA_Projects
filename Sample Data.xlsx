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li\RWA Explain\RWA_Projects\"/>
    </mc:Choice>
  </mc:AlternateContent>
  <xr:revisionPtr revIDLastSave="0" documentId="13_ncr:1_{18214009-D1B8-44E4-80EB-FE325C710200}" xr6:coauthVersionLast="47" xr6:coauthVersionMax="47" xr10:uidLastSave="{00000000-0000-0000-0000-000000000000}"/>
  <bookViews>
    <workbookView xWindow="-120" yWindow="-120" windowWidth="29040" windowHeight="15720" activeTab="1" xr2:uid="{C157F968-FDEA-4F33-A112-B4443D6940A8}"/>
  </bookViews>
  <sheets>
    <sheet name="Variable Nam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1" i="2" l="1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3" i="2"/>
  <c r="AU4" i="2"/>
  <c r="AU5" i="2"/>
  <c r="AU6" i="2"/>
  <c r="AU2" i="2"/>
</calcChain>
</file>

<file path=xl/sharedStrings.xml><?xml version="1.0" encoding="utf-8"?>
<sst xmlns="http://schemas.openxmlformats.org/spreadsheetml/2006/main" count="1293" uniqueCount="135">
  <si>
    <t>Batch Name</t>
  </si>
  <si>
    <t>RWA Exps Typ</t>
  </si>
  <si>
    <t>GFCID</t>
  </si>
  <si>
    <t>Netting Set ID</t>
  </si>
  <si>
    <t>Netting Agreement ID</t>
  </si>
  <si>
    <t>Netting Flag</t>
  </si>
  <si>
    <t>Sft Transaction Type</t>
  </si>
  <si>
    <t>Bal Typ Cd</t>
  </si>
  <si>
    <t>Source system ID</t>
  </si>
  <si>
    <t>Source Txns ID</t>
  </si>
  <si>
    <t>Portfolio Type</t>
  </si>
  <si>
    <t>IMS Account Number</t>
  </si>
  <si>
    <t>Account Mnemonic</t>
  </si>
  <si>
    <t>Gfmis Code</t>
  </si>
  <si>
    <t>Sub Product</t>
  </si>
  <si>
    <t>Dsft Base Mpor</t>
  </si>
  <si>
    <t>Dsft Issue Mpor</t>
  </si>
  <si>
    <t>Dsft Issuer Mpor</t>
  </si>
  <si>
    <t>Dsft Base Conc</t>
  </si>
  <si>
    <t>Security ID Type</t>
  </si>
  <si>
    <t>Security Description</t>
  </si>
  <si>
    <t>Security Rating</t>
  </si>
  <si>
    <t>Stale prc flg 2days</t>
  </si>
  <si>
    <t>Illiquid Collateral Flag</t>
  </si>
  <si>
    <t>Illiquid flag derived</t>
  </si>
  <si>
    <t>Large Netting Set Flag</t>
  </si>
  <si>
    <t>Margin Dispute Flag</t>
  </si>
  <si>
    <t>Is Portfolio Concentrated</t>
  </si>
  <si>
    <t>Extended MPOR indicator</t>
  </si>
  <si>
    <t>Extended MPOR Reason</t>
  </si>
  <si>
    <t>Concentration flag derived</t>
  </si>
  <si>
    <t>LRM Flag</t>
  </si>
  <si>
    <t>SWWR Flag</t>
  </si>
  <si>
    <t>SWWR Description</t>
  </si>
  <si>
    <t>Agency Lending Indicator</t>
  </si>
  <si>
    <t>Basel Calculation Methodology Code</t>
  </si>
  <si>
    <t>Haircut</t>
  </si>
  <si>
    <t>Haircut Eligible Status</t>
  </si>
  <si>
    <t>Haircut Eligible Reason Cd</t>
  </si>
  <si>
    <t>Basel Calculatio Methodology Code Description</t>
  </si>
  <si>
    <t>Settlement Date</t>
  </si>
  <si>
    <t>Maturity Date</t>
  </si>
  <si>
    <t>ISO Currency</t>
  </si>
  <si>
    <t>ISO CCY</t>
  </si>
  <si>
    <t>Prin CCY</t>
  </si>
  <si>
    <t>Largest Net CCY</t>
  </si>
  <si>
    <t>Agr Settlement Ccy code</t>
  </si>
  <si>
    <t>Buy or Sell Indicator</t>
  </si>
  <si>
    <t>Std DSFT Final MPOR</t>
  </si>
  <si>
    <t>NS MPOR</t>
  </si>
  <si>
    <t>Scen A MPOR</t>
  </si>
  <si>
    <t>NS MPOR  - Scen B</t>
  </si>
  <si>
    <t>Scen B MPOR</t>
  </si>
  <si>
    <t>NS MPOR - FED</t>
  </si>
  <si>
    <t>FED Scen MPOR</t>
  </si>
  <si>
    <t>Period of Risk Days</t>
  </si>
  <si>
    <t>Remargining Frequency</t>
  </si>
  <si>
    <t>Scenario</t>
  </si>
  <si>
    <t>STD EAD Scenario Used</t>
  </si>
  <si>
    <t>Check Scenario</t>
  </si>
  <si>
    <t>Dsft Cmtrcvrfac Scen1</t>
  </si>
  <si>
    <t>Dsft Rcvr Fac Scen2</t>
  </si>
  <si>
    <t>Trade level Exposure</t>
  </si>
  <si>
    <t>Trade level Collateral</t>
  </si>
  <si>
    <t>Eligible Collateral</t>
  </si>
  <si>
    <t>Final Collateral (Scen A)</t>
  </si>
  <si>
    <t>Final Collateral (Scen B)</t>
  </si>
  <si>
    <t>Final Collateral (FED Scen)</t>
  </si>
  <si>
    <t>Security Addon (Exposure)</t>
  </si>
  <si>
    <t>Security Addon (Collateral)</t>
  </si>
  <si>
    <t>Security Addon (Collateral) - Scen B</t>
  </si>
  <si>
    <t>Security Addon (Collateral) - FED Scen</t>
  </si>
  <si>
    <t>Exposure Currency</t>
  </si>
  <si>
    <t>Collateral Currency</t>
  </si>
  <si>
    <t>Collateral Amount Advanced Trade Level</t>
  </si>
  <si>
    <t>Exposure Amount Advanced Trade Level</t>
  </si>
  <si>
    <t>Security Quantity</t>
  </si>
  <si>
    <t>PRE TLA STD Exp Amt</t>
  </si>
  <si>
    <t>Pre TLA STD Exp Amt</t>
  </si>
  <si>
    <t>Pre TLA STD CLLT Amt</t>
  </si>
  <si>
    <t>Pre TLA STD Sec Addon Amt</t>
  </si>
  <si>
    <t>Pre TLA STD FX Addon Amt</t>
  </si>
  <si>
    <t>Pre TLA STD EAD Amt</t>
  </si>
  <si>
    <t>Principal</t>
  </si>
  <si>
    <t>Market Value</t>
  </si>
  <si>
    <t>Original Market Value</t>
  </si>
  <si>
    <t>Std Collateral Amount</t>
  </si>
  <si>
    <t>Exposure Amount</t>
  </si>
  <si>
    <t>Collateral Amount</t>
  </si>
  <si>
    <t>Std Reported Ead</t>
  </si>
  <si>
    <t>SA RWA</t>
  </si>
  <si>
    <t>Dsft Over Mpor Scen1</t>
  </si>
  <si>
    <t>Dsft Over Mpor Scen2</t>
  </si>
  <si>
    <t>Counterparty GFCID</t>
  </si>
  <si>
    <t>GFCID Name</t>
  </si>
  <si>
    <t>USCON</t>
  </si>
  <si>
    <t>Y</t>
  </si>
  <si>
    <t>MARGIN_LOAN</t>
  </si>
  <si>
    <t>Netting Set</t>
  </si>
  <si>
    <t>02</t>
  </si>
  <si>
    <t>NOT_CONCENTRATED</t>
  </si>
  <si>
    <t>CUSP</t>
  </si>
  <si>
    <t>Security ID</t>
  </si>
  <si>
    <t>90258H219</t>
  </si>
  <si>
    <t>39572D198</t>
  </si>
  <si>
    <t>23489B234</t>
  </si>
  <si>
    <t>Security 1</t>
  </si>
  <si>
    <t>Security 2</t>
  </si>
  <si>
    <t>Security 3</t>
  </si>
  <si>
    <t>Security 4</t>
  </si>
  <si>
    <t>Security 5</t>
  </si>
  <si>
    <t>Unrated</t>
  </si>
  <si>
    <t>N</t>
  </si>
  <si>
    <t>Concentrated</t>
  </si>
  <si>
    <t>No SWWR</t>
  </si>
  <si>
    <t xml:space="preserve">                            </t>
  </si>
  <si>
    <t>Elligible</t>
  </si>
  <si>
    <t>Elligible-Equity Public</t>
  </si>
  <si>
    <t>B3</t>
  </si>
  <si>
    <t>EUR</t>
  </si>
  <si>
    <t>USD</t>
  </si>
  <si>
    <t>B</t>
  </si>
  <si>
    <t>S</t>
  </si>
  <si>
    <t>SCENARIO</t>
  </si>
  <si>
    <t>SCENARIO1</t>
  </si>
  <si>
    <t>Ineligible</t>
  </si>
  <si>
    <t>Defaulting to INELIGIBLE as SMCP not found</t>
  </si>
  <si>
    <t>ISO Currency Derived</t>
  </si>
  <si>
    <t>NA</t>
  </si>
  <si>
    <t>Ctpy 1</t>
  </si>
  <si>
    <t>SFT</t>
  </si>
  <si>
    <t>Ctpy 2</t>
  </si>
  <si>
    <t>Ctpy 3</t>
  </si>
  <si>
    <t>Ctpy 4</t>
  </si>
  <si>
    <t>Ctpy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</si>
</sst>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3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12F6-683F-44CC-A531-C4162971BC8D}">
  <dimension ref="A1:A97"/>
  <sheetViews>
    <sheetView topLeftCell="A13" workbookViewId="0">
      <selection activeCell="D43" sqref="D4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102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127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FA33-DA5D-4E3D-BA38-E34454F2D8E1}">
  <dimension ref="A1:CR51"/>
  <sheetViews>
    <sheetView tabSelected="1" workbookViewId="0">
      <selection activeCell="I16" sqref="I16"/>
    </sheetView>
  </sheetViews>
  <sheetFormatPr defaultRowHeight="15" x14ac:dyDescent="0.25"/>
  <cols>
    <col min="1" max="1" width="11.7109375" bestFit="1" customWidth="1"/>
    <col min="2" max="2" width="12.85546875" bestFit="1" customWidth="1"/>
    <col min="3" max="3" width="10" bestFit="1" customWidth="1"/>
    <col min="4" max="4" width="12.5703125" bestFit="1" customWidth="1"/>
    <col min="5" max="5" width="19.5703125" bestFit="1" customWidth="1"/>
    <col min="6" max="6" width="11.42578125" customWidth="1"/>
    <col min="7" max="7" width="18.85546875" customWidth="1"/>
    <col min="8" max="8" width="10" customWidth="1"/>
    <col min="9" max="9" width="16" customWidth="1"/>
    <col min="10" max="10" width="13.85546875" customWidth="1"/>
    <col min="11" max="11" width="13.140625" customWidth="1"/>
    <col min="12" max="12" width="19.5703125" customWidth="1"/>
    <col min="13" max="13" width="18.140625" style="3" customWidth="1"/>
    <col min="14" max="14" width="11" customWidth="1"/>
    <col min="15" max="15" width="11.5703125" customWidth="1"/>
    <col min="16" max="16" width="14.28515625" customWidth="1"/>
    <col min="17" max="17" width="14.7109375" customWidth="1"/>
    <col min="18" max="18" width="15.42578125" customWidth="1"/>
    <col min="19" max="19" width="14.140625" customWidth="1"/>
    <col min="20" max="21" width="14.7109375" customWidth="1"/>
    <col min="22" max="22" width="18.7109375" customWidth="1"/>
    <col min="23" max="23" width="14" customWidth="1"/>
    <col min="24" max="24" width="16.85546875" customWidth="1"/>
    <col min="25" max="25" width="20.7109375" customWidth="1"/>
    <col min="26" max="26" width="18.140625" customWidth="1"/>
    <col min="27" max="27" width="19.85546875" customWidth="1"/>
    <col min="28" max="28" width="18.7109375" customWidth="1"/>
    <col min="29" max="29" width="23.140625" customWidth="1"/>
    <col min="30" max="30" width="23.42578125" customWidth="1"/>
    <col min="31" max="31" width="22" customWidth="1"/>
    <col min="32" max="32" width="24.42578125" customWidth="1"/>
    <col min="33" max="33" width="8.7109375" customWidth="1"/>
    <col min="34" max="34" width="10.7109375" customWidth="1"/>
    <col min="35" max="35" width="17.42578125" customWidth="1"/>
    <col min="36" max="36" width="23.28515625" customWidth="1"/>
    <col min="37" max="37" width="33.85546875" customWidth="1"/>
    <col min="38" max="38" width="7.42578125" customWidth="1"/>
    <col min="39" max="39" width="20.42578125" customWidth="1"/>
    <col min="40" max="40" width="24.42578125" customWidth="1"/>
    <col min="41" max="41" width="43.5703125" customWidth="1"/>
    <col min="42" max="42" width="14.7109375" customWidth="1"/>
    <col min="43" max="43" width="12.5703125" customWidth="1"/>
    <col min="44" max="44" width="12.140625" customWidth="1"/>
    <col min="45" max="46" width="7.7109375" customWidth="1"/>
    <col min="47" max="47" width="8.28515625" customWidth="1"/>
    <col min="48" max="48" width="14.5703125" customWidth="1"/>
    <col min="49" max="49" width="22" customWidth="1"/>
    <col min="50" max="50" width="18.7109375" customWidth="1"/>
    <col min="51" max="51" width="19.28515625" customWidth="1"/>
    <col min="52" max="52" width="9.140625" customWidth="1"/>
    <col min="53" max="53" width="12.42578125" customWidth="1"/>
    <col min="54" max="54" width="17" customWidth="1"/>
    <col min="55" max="55" width="12.42578125" customWidth="1"/>
    <col min="56" max="56" width="14.140625" customWidth="1"/>
    <col min="57" max="57" width="14.7109375" customWidth="1"/>
    <col min="58" max="58" width="18" customWidth="1"/>
    <col min="59" max="59" width="22" customWidth="1"/>
    <col min="60" max="60" width="9.85546875" customWidth="1"/>
    <col min="61" max="61" width="21.5703125" customWidth="1"/>
    <col min="62" max="62" width="14.5703125" customWidth="1"/>
    <col min="63" max="63" width="20.140625" customWidth="1"/>
    <col min="64" max="64" width="18" customWidth="1"/>
    <col min="65" max="65" width="19.140625" customWidth="1"/>
    <col min="66" max="66" width="19.7109375" customWidth="1"/>
    <col min="67" max="67" width="17.28515625" customWidth="1"/>
    <col min="68" max="69" width="22.42578125" customWidth="1"/>
    <col min="70" max="70" width="24.5703125" customWidth="1"/>
    <col min="71" max="71" width="24.28515625" customWidth="1"/>
    <col min="72" max="72" width="24.85546875" customWidth="1"/>
    <col min="73" max="73" width="32.42578125" customWidth="1"/>
    <col min="74" max="74" width="34.7109375" customWidth="1"/>
    <col min="75" max="75" width="17.42578125" customWidth="1"/>
    <col min="76" max="76" width="18" customWidth="1"/>
    <col min="77" max="77" width="36.85546875" customWidth="1"/>
    <col min="78" max="78" width="36.28515625" customWidth="1"/>
    <col min="79" max="79" width="15.85546875" customWidth="1"/>
    <col min="80" max="80" width="20.140625" customWidth="1"/>
    <col min="81" max="81" width="20.7109375" customWidth="1"/>
    <col min="82" max="82" width="24.85546875" customWidth="1"/>
    <col min="83" max="83" width="24" customWidth="1"/>
    <col min="84" max="84" width="19" customWidth="1"/>
    <col min="85" max="85" width="9" customWidth="1"/>
    <col min="86" max="86" width="12.42578125" customWidth="1"/>
    <col min="87" max="88" width="20.28515625" customWidth="1"/>
    <col min="89" max="89" width="16.42578125" customWidth="1"/>
    <col min="90" max="90" width="17" customWidth="1"/>
    <col min="91" max="91" width="15.85546875" customWidth="1"/>
    <col min="92" max="92" width="7.5703125" customWidth="1"/>
    <col min="93" max="94" width="19.7109375" customWidth="1"/>
    <col min="95" max="95" width="18.28515625" bestFit="1" customWidth="1"/>
    <col min="96" max="96" width="12" bestFit="1" customWidth="1"/>
  </cols>
  <sheetData>
    <row r="1" spans="1:9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102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4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127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 x14ac:dyDescent="0.25">
      <c r="A2" t="s">
        <v>95</v>
      </c>
      <c r="B2">
        <v>12</v>
      </c>
      <c r="C2">
        <v>100000001</v>
      </c>
      <c r="D2">
        <v>1</v>
      </c>
      <c r="E2">
        <v>1</v>
      </c>
      <c r="F2" t="s">
        <v>96</v>
      </c>
      <c r="G2" t="s">
        <v>97</v>
      </c>
      <c r="H2">
        <v>15</v>
      </c>
      <c r="I2">
        <v>163186</v>
      </c>
      <c r="J2">
        <v>59328417</v>
      </c>
      <c r="K2" t="s">
        <v>98</v>
      </c>
      <c r="L2">
        <v>1</v>
      </c>
      <c r="M2" s="3" t="s">
        <v>99</v>
      </c>
      <c r="N2">
        <v>1</v>
      </c>
      <c r="O2">
        <v>2</v>
      </c>
      <c r="P2">
        <v>5</v>
      </c>
      <c r="Q2">
        <v>0</v>
      </c>
      <c r="R2">
        <v>5</v>
      </c>
      <c r="S2" t="s">
        <v>100</v>
      </c>
      <c r="T2" t="s">
        <v>101</v>
      </c>
      <c r="U2" t="s">
        <v>103</v>
      </c>
      <c r="V2" t="s">
        <v>106</v>
      </c>
      <c r="W2" t="s">
        <v>111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96</v>
      </c>
      <c r="AD2" t="s">
        <v>96</v>
      </c>
      <c r="AE2" t="s">
        <v>113</v>
      </c>
      <c r="AF2" t="b">
        <v>0</v>
      </c>
      <c r="AG2" t="s">
        <v>96</v>
      </c>
      <c r="AH2" t="s">
        <v>112</v>
      </c>
      <c r="AI2" t="s">
        <v>114</v>
      </c>
      <c r="AK2">
        <v>1</v>
      </c>
      <c r="AL2">
        <v>0.15</v>
      </c>
      <c r="AM2" t="s">
        <v>116</v>
      </c>
      <c r="AN2" t="s">
        <v>117</v>
      </c>
      <c r="AO2" t="s">
        <v>118</v>
      </c>
      <c r="AP2" s="5">
        <v>1</v>
      </c>
      <c r="AR2" t="s">
        <v>119</v>
      </c>
      <c r="AS2" t="s">
        <v>119</v>
      </c>
      <c r="AU2" t="str">
        <f>IF(OR(AS2="",AS2="null"),AW2,AS2)</f>
        <v>EUR</v>
      </c>
      <c r="AV2" t="s">
        <v>120</v>
      </c>
      <c r="AW2" t="s">
        <v>120</v>
      </c>
      <c r="AX2" t="s">
        <v>121</v>
      </c>
      <c r="AY2">
        <v>10</v>
      </c>
      <c r="AZ2">
        <v>20</v>
      </c>
      <c r="BA2">
        <v>20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</v>
      </c>
      <c r="BH2" t="s">
        <v>123</v>
      </c>
      <c r="BI2" t="s">
        <v>124</v>
      </c>
      <c r="BJ2" t="b">
        <v>1</v>
      </c>
      <c r="BK2">
        <v>1</v>
      </c>
      <c r="BL2">
        <v>1</v>
      </c>
      <c r="BN2">
        <v>891186.97</v>
      </c>
      <c r="BO2">
        <v>891186.97</v>
      </c>
      <c r="BP2">
        <v>891186.97</v>
      </c>
      <c r="BQ2">
        <v>891186.97</v>
      </c>
      <c r="BR2">
        <v>891186.97</v>
      </c>
      <c r="BT2">
        <v>891186.97</v>
      </c>
      <c r="BU2">
        <v>891186.97</v>
      </c>
      <c r="BV2">
        <v>891186.97</v>
      </c>
      <c r="BX2" t="s">
        <v>119</v>
      </c>
      <c r="BY2">
        <v>891186.97</v>
      </c>
      <c r="CA2">
        <v>18000</v>
      </c>
      <c r="CB2">
        <v>980331064.58999991</v>
      </c>
      <c r="CC2">
        <v>6179333.3999999994</v>
      </c>
      <c r="CD2" t="s">
        <v>128</v>
      </c>
      <c r="CE2" t="s">
        <v>128</v>
      </c>
      <c r="CF2" t="s">
        <v>128</v>
      </c>
      <c r="CH2">
        <v>891186.97</v>
      </c>
      <c r="CI2">
        <v>891186.97</v>
      </c>
      <c r="CJ2">
        <v>0</v>
      </c>
      <c r="CK2">
        <v>0</v>
      </c>
      <c r="CO2">
        <v>10</v>
      </c>
      <c r="CP2">
        <v>20</v>
      </c>
      <c r="CQ2">
        <v>100000001</v>
      </c>
      <c r="CR2" t="s">
        <v>129</v>
      </c>
    </row>
    <row r="3" spans="1:96" x14ac:dyDescent="0.25">
      <c r="A3" t="s">
        <v>95</v>
      </c>
      <c r="B3">
        <v>12</v>
      </c>
      <c r="C3">
        <v>100000001</v>
      </c>
      <c r="D3">
        <v>1</v>
      </c>
      <c r="E3">
        <v>1</v>
      </c>
      <c r="F3" t="s">
        <v>96</v>
      </c>
      <c r="G3" t="s">
        <v>97</v>
      </c>
      <c r="H3">
        <v>15</v>
      </c>
      <c r="I3">
        <v>163186</v>
      </c>
      <c r="J3">
        <v>81426350</v>
      </c>
      <c r="K3" t="s">
        <v>98</v>
      </c>
      <c r="L3">
        <v>1</v>
      </c>
      <c r="M3" s="3" t="s">
        <v>99</v>
      </c>
      <c r="N3">
        <v>1</v>
      </c>
      <c r="O3">
        <v>2</v>
      </c>
      <c r="P3">
        <v>5</v>
      </c>
      <c r="Q3">
        <v>0</v>
      </c>
      <c r="R3">
        <v>5</v>
      </c>
      <c r="S3" t="s">
        <v>100</v>
      </c>
      <c r="T3" t="s">
        <v>101</v>
      </c>
      <c r="U3" t="s">
        <v>104</v>
      </c>
      <c r="V3" t="s">
        <v>107</v>
      </c>
      <c r="W3" t="s">
        <v>111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96</v>
      </c>
      <c r="AD3" t="s">
        <v>96</v>
      </c>
      <c r="AE3" t="s">
        <v>113</v>
      </c>
      <c r="AF3" t="b">
        <v>0</v>
      </c>
      <c r="AG3" t="s">
        <v>96</v>
      </c>
      <c r="AH3" t="s">
        <v>112</v>
      </c>
      <c r="AI3" t="s">
        <v>114</v>
      </c>
      <c r="AK3">
        <v>1</v>
      </c>
      <c r="AL3">
        <v>0.25</v>
      </c>
      <c r="AM3" t="s">
        <v>116</v>
      </c>
      <c r="AN3" t="s">
        <v>117</v>
      </c>
      <c r="AO3" t="s">
        <v>118</v>
      </c>
      <c r="AP3" s="5">
        <v>1</v>
      </c>
      <c r="AR3" t="s">
        <v>120</v>
      </c>
      <c r="AS3" t="s">
        <v>120</v>
      </c>
      <c r="AU3" t="str">
        <f t="shared" ref="AU3:AU6" si="0">IF(OR(AS3="",AS3="null"),AW3,AS3)</f>
        <v>USD</v>
      </c>
      <c r="AV3" t="s">
        <v>120</v>
      </c>
      <c r="AW3" t="s">
        <v>120</v>
      </c>
      <c r="AX3" t="s">
        <v>121</v>
      </c>
      <c r="AY3">
        <v>10</v>
      </c>
      <c r="AZ3">
        <v>20</v>
      </c>
      <c r="BA3">
        <v>20</v>
      </c>
      <c r="BB3">
        <v>10</v>
      </c>
      <c r="BC3">
        <v>10</v>
      </c>
      <c r="BD3">
        <v>10</v>
      </c>
      <c r="BE3">
        <v>10</v>
      </c>
      <c r="BF3">
        <v>10</v>
      </c>
      <c r="BG3">
        <v>1</v>
      </c>
      <c r="BH3" t="s">
        <v>123</v>
      </c>
      <c r="BI3" t="s">
        <v>124</v>
      </c>
      <c r="BJ3" t="b">
        <v>1</v>
      </c>
      <c r="BK3">
        <v>1</v>
      </c>
      <c r="BL3">
        <v>1</v>
      </c>
      <c r="BN3">
        <v>113431.08</v>
      </c>
      <c r="BO3">
        <v>113431.08</v>
      </c>
      <c r="BP3">
        <v>113431.08</v>
      </c>
      <c r="BQ3">
        <v>113431.08</v>
      </c>
      <c r="BR3">
        <v>113431.08</v>
      </c>
      <c r="BT3">
        <v>113431.08</v>
      </c>
      <c r="BU3">
        <v>113431.08</v>
      </c>
      <c r="BV3">
        <v>113431.08</v>
      </c>
      <c r="BX3" t="s">
        <v>120</v>
      </c>
      <c r="BY3">
        <v>113431.08</v>
      </c>
      <c r="CA3">
        <v>8000</v>
      </c>
      <c r="CB3">
        <v>980331064.58999991</v>
      </c>
      <c r="CC3">
        <v>6179333.3999999994</v>
      </c>
      <c r="CD3" t="s">
        <v>128</v>
      </c>
      <c r="CE3" t="s">
        <v>128</v>
      </c>
      <c r="CF3" t="s">
        <v>128</v>
      </c>
      <c r="CH3">
        <v>113431.08</v>
      </c>
      <c r="CI3">
        <v>113431.08</v>
      </c>
      <c r="CJ3">
        <v>0</v>
      </c>
      <c r="CK3">
        <v>0</v>
      </c>
      <c r="CO3">
        <v>10</v>
      </c>
      <c r="CP3">
        <v>20</v>
      </c>
      <c r="CQ3">
        <v>100000001</v>
      </c>
      <c r="CR3" t="s">
        <v>129</v>
      </c>
    </row>
    <row r="4" spans="1:96" x14ac:dyDescent="0.25">
      <c r="A4" t="s">
        <v>95</v>
      </c>
      <c r="B4">
        <v>12</v>
      </c>
      <c r="C4">
        <v>100000001</v>
      </c>
      <c r="D4">
        <v>1</v>
      </c>
      <c r="E4">
        <v>1</v>
      </c>
      <c r="F4" t="s">
        <v>96</v>
      </c>
      <c r="G4" t="s">
        <v>97</v>
      </c>
      <c r="H4">
        <v>15</v>
      </c>
      <c r="I4">
        <v>163186</v>
      </c>
      <c r="J4">
        <v>70219543</v>
      </c>
      <c r="K4" t="s">
        <v>98</v>
      </c>
      <c r="L4">
        <v>1</v>
      </c>
      <c r="M4" s="3" t="s">
        <v>99</v>
      </c>
      <c r="N4">
        <v>1</v>
      </c>
      <c r="O4">
        <v>2</v>
      </c>
      <c r="P4">
        <v>5</v>
      </c>
      <c r="Q4">
        <v>0</v>
      </c>
      <c r="R4">
        <v>5</v>
      </c>
      <c r="S4" t="s">
        <v>100</v>
      </c>
      <c r="T4" t="s">
        <v>101</v>
      </c>
      <c r="U4">
        <v>294382048</v>
      </c>
      <c r="V4" t="s">
        <v>108</v>
      </c>
      <c r="W4" t="s">
        <v>111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96</v>
      </c>
      <c r="AD4" t="s">
        <v>96</v>
      </c>
      <c r="AE4" t="s">
        <v>113</v>
      </c>
      <c r="AF4" t="b">
        <v>0</v>
      </c>
      <c r="AG4" t="s">
        <v>96</v>
      </c>
      <c r="AH4" t="s">
        <v>112</v>
      </c>
      <c r="AI4" t="s">
        <v>114</v>
      </c>
      <c r="AJ4" t="s">
        <v>115</v>
      </c>
      <c r="AK4">
        <v>1</v>
      </c>
      <c r="AL4">
        <v>0.25</v>
      </c>
      <c r="AM4" t="s">
        <v>116</v>
      </c>
      <c r="AN4" t="s">
        <v>117</v>
      </c>
      <c r="AO4" t="s">
        <v>118</v>
      </c>
      <c r="AP4" s="5">
        <v>1</v>
      </c>
      <c r="AR4" t="s">
        <v>120</v>
      </c>
      <c r="AS4" t="s">
        <v>120</v>
      </c>
      <c r="AU4" t="str">
        <f t="shared" si="0"/>
        <v>USD</v>
      </c>
      <c r="AV4" t="s">
        <v>120</v>
      </c>
      <c r="AW4" t="s">
        <v>120</v>
      </c>
      <c r="AX4" t="s">
        <v>122</v>
      </c>
      <c r="AY4">
        <v>10</v>
      </c>
      <c r="AZ4">
        <v>20</v>
      </c>
      <c r="BA4">
        <v>20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</v>
      </c>
      <c r="BH4" t="s">
        <v>123</v>
      </c>
      <c r="BI4" t="s">
        <v>124</v>
      </c>
      <c r="BJ4" t="b">
        <v>1</v>
      </c>
      <c r="BK4">
        <v>1</v>
      </c>
      <c r="BL4">
        <v>1</v>
      </c>
      <c r="BM4">
        <v>14744.43</v>
      </c>
      <c r="BS4">
        <v>14744.43</v>
      </c>
      <c r="BW4" t="s">
        <v>120</v>
      </c>
      <c r="BZ4">
        <v>14744.43</v>
      </c>
      <c r="CA4">
        <v>1000</v>
      </c>
      <c r="CB4">
        <v>980331064.58999991</v>
      </c>
      <c r="CC4">
        <v>6179333.3999999994</v>
      </c>
      <c r="CD4" t="s">
        <v>128</v>
      </c>
      <c r="CE4" t="s">
        <v>128</v>
      </c>
      <c r="CF4" t="s">
        <v>128</v>
      </c>
      <c r="CH4">
        <v>14744.43</v>
      </c>
      <c r="CI4">
        <v>14744.43</v>
      </c>
      <c r="CJ4">
        <v>0</v>
      </c>
      <c r="CK4">
        <v>0</v>
      </c>
      <c r="CO4">
        <v>10</v>
      </c>
      <c r="CP4">
        <v>20</v>
      </c>
      <c r="CQ4">
        <v>100000001</v>
      </c>
      <c r="CR4" t="s">
        <v>129</v>
      </c>
    </row>
    <row r="5" spans="1:96" x14ac:dyDescent="0.25">
      <c r="A5" t="s">
        <v>95</v>
      </c>
      <c r="B5">
        <v>12</v>
      </c>
      <c r="C5">
        <v>100000001</v>
      </c>
      <c r="D5">
        <v>1</v>
      </c>
      <c r="E5">
        <v>1</v>
      </c>
      <c r="F5" t="s">
        <v>96</v>
      </c>
      <c r="G5" t="s">
        <v>97</v>
      </c>
      <c r="H5">
        <v>15</v>
      </c>
      <c r="I5">
        <v>163186</v>
      </c>
      <c r="J5">
        <v>49613820</v>
      </c>
      <c r="K5" t="s">
        <v>98</v>
      </c>
      <c r="L5">
        <v>1</v>
      </c>
      <c r="M5" s="3" t="s">
        <v>99</v>
      </c>
      <c r="N5">
        <v>1</v>
      </c>
      <c r="O5">
        <v>2</v>
      </c>
      <c r="P5">
        <v>5</v>
      </c>
      <c r="Q5">
        <v>0</v>
      </c>
      <c r="R5">
        <v>5</v>
      </c>
      <c r="S5" t="s">
        <v>100</v>
      </c>
      <c r="T5" t="s">
        <v>101</v>
      </c>
      <c r="U5">
        <v>325892398</v>
      </c>
      <c r="V5" t="s">
        <v>109</v>
      </c>
      <c r="W5" t="s">
        <v>111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96</v>
      </c>
      <c r="AD5" t="s">
        <v>96</v>
      </c>
      <c r="AE5" t="s">
        <v>113</v>
      </c>
      <c r="AF5" t="b">
        <v>0</v>
      </c>
      <c r="AG5" t="s">
        <v>96</v>
      </c>
      <c r="AH5" t="s">
        <v>112</v>
      </c>
      <c r="AI5" t="s">
        <v>114</v>
      </c>
      <c r="AK5">
        <v>1</v>
      </c>
      <c r="AL5">
        <v>0.25</v>
      </c>
      <c r="AM5" t="s">
        <v>116</v>
      </c>
      <c r="AN5" t="s">
        <v>117</v>
      </c>
      <c r="AO5" t="s">
        <v>118</v>
      </c>
      <c r="AP5" s="5">
        <v>1</v>
      </c>
      <c r="AR5" t="s">
        <v>120</v>
      </c>
      <c r="AS5" t="s">
        <v>120</v>
      </c>
      <c r="AU5" t="str">
        <f t="shared" si="0"/>
        <v>USD</v>
      </c>
      <c r="AV5" t="s">
        <v>120</v>
      </c>
      <c r="AW5" t="s">
        <v>120</v>
      </c>
      <c r="AX5" t="s">
        <v>121</v>
      </c>
      <c r="AY5">
        <v>10</v>
      </c>
      <c r="AZ5">
        <v>20</v>
      </c>
      <c r="BA5">
        <v>20</v>
      </c>
      <c r="BB5">
        <v>10</v>
      </c>
      <c r="BC5">
        <v>10</v>
      </c>
      <c r="BD5">
        <v>10</v>
      </c>
      <c r="BE5">
        <v>10</v>
      </c>
      <c r="BF5">
        <v>10</v>
      </c>
      <c r="BG5">
        <v>1</v>
      </c>
      <c r="BH5" t="s">
        <v>123</v>
      </c>
      <c r="BI5" t="s">
        <v>124</v>
      </c>
      <c r="BJ5" t="b">
        <v>1</v>
      </c>
      <c r="BK5">
        <v>1</v>
      </c>
      <c r="BL5">
        <v>1</v>
      </c>
      <c r="BN5">
        <v>324680.8</v>
      </c>
      <c r="BO5">
        <v>324680.8</v>
      </c>
      <c r="BP5">
        <v>324680.8</v>
      </c>
      <c r="BQ5">
        <v>324680.8</v>
      </c>
      <c r="BR5">
        <v>324680.8</v>
      </c>
      <c r="BT5">
        <v>324680.8</v>
      </c>
      <c r="BU5">
        <v>324680.8</v>
      </c>
      <c r="BV5">
        <v>324680.8</v>
      </c>
      <c r="BX5" t="s">
        <v>120</v>
      </c>
      <c r="BY5">
        <v>324680.8</v>
      </c>
      <c r="CA5">
        <v>7000</v>
      </c>
      <c r="CB5">
        <v>980331064.58999991</v>
      </c>
      <c r="CC5">
        <v>6179333.3999999994</v>
      </c>
      <c r="CD5" t="s">
        <v>128</v>
      </c>
      <c r="CE5" t="s">
        <v>128</v>
      </c>
      <c r="CF5" t="s">
        <v>128</v>
      </c>
      <c r="CH5">
        <v>324680.8</v>
      </c>
      <c r="CI5">
        <v>324680.8</v>
      </c>
      <c r="CJ5">
        <v>0</v>
      </c>
      <c r="CK5">
        <v>0</v>
      </c>
      <c r="CO5">
        <v>10</v>
      </c>
      <c r="CP5">
        <v>20</v>
      </c>
      <c r="CQ5">
        <v>100000001</v>
      </c>
      <c r="CR5" t="s">
        <v>129</v>
      </c>
    </row>
    <row r="6" spans="1:96" x14ac:dyDescent="0.25">
      <c r="A6" t="s">
        <v>95</v>
      </c>
      <c r="B6">
        <v>12</v>
      </c>
      <c r="C6">
        <v>100000001</v>
      </c>
      <c r="D6">
        <v>1</v>
      </c>
      <c r="E6">
        <v>1</v>
      </c>
      <c r="F6" t="s">
        <v>96</v>
      </c>
      <c r="G6" t="s">
        <v>97</v>
      </c>
      <c r="H6">
        <v>15</v>
      </c>
      <c r="I6">
        <v>163186</v>
      </c>
      <c r="J6">
        <v>38275196</v>
      </c>
      <c r="K6" t="s">
        <v>98</v>
      </c>
      <c r="L6">
        <v>1</v>
      </c>
      <c r="M6" s="3" t="s">
        <v>99</v>
      </c>
      <c r="N6">
        <v>1</v>
      </c>
      <c r="O6">
        <v>2</v>
      </c>
      <c r="P6">
        <v>5</v>
      </c>
      <c r="Q6">
        <v>0</v>
      </c>
      <c r="R6">
        <v>5</v>
      </c>
      <c r="S6" t="s">
        <v>100</v>
      </c>
      <c r="T6" t="s">
        <v>101</v>
      </c>
      <c r="U6" t="s">
        <v>105</v>
      </c>
      <c r="V6" t="s">
        <v>110</v>
      </c>
      <c r="W6" t="s">
        <v>111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96</v>
      </c>
      <c r="AD6" t="s">
        <v>96</v>
      </c>
      <c r="AE6" t="s">
        <v>113</v>
      </c>
      <c r="AF6" t="b">
        <v>0</v>
      </c>
      <c r="AG6" t="s">
        <v>96</v>
      </c>
      <c r="AH6" t="s">
        <v>112</v>
      </c>
      <c r="AI6" t="s">
        <v>114</v>
      </c>
      <c r="AK6">
        <v>1</v>
      </c>
      <c r="AL6">
        <v>0.15</v>
      </c>
      <c r="AM6" t="s">
        <v>116</v>
      </c>
      <c r="AN6" t="s">
        <v>117</v>
      </c>
      <c r="AO6" t="s">
        <v>118</v>
      </c>
      <c r="AP6" s="5">
        <v>1</v>
      </c>
      <c r="AR6" t="s">
        <v>120</v>
      </c>
      <c r="AS6" t="s">
        <v>120</v>
      </c>
      <c r="AU6" t="str">
        <f t="shared" si="0"/>
        <v>USD</v>
      </c>
      <c r="AV6" t="s">
        <v>120</v>
      </c>
      <c r="AW6" t="s">
        <v>120</v>
      </c>
      <c r="AX6" t="s">
        <v>121</v>
      </c>
      <c r="AY6">
        <v>10</v>
      </c>
      <c r="AZ6">
        <v>20</v>
      </c>
      <c r="BA6">
        <v>20</v>
      </c>
      <c r="BB6">
        <v>10</v>
      </c>
      <c r="BC6">
        <v>10</v>
      </c>
      <c r="BD6">
        <v>10</v>
      </c>
      <c r="BE6">
        <v>10</v>
      </c>
      <c r="BF6">
        <v>10</v>
      </c>
      <c r="BG6">
        <v>1</v>
      </c>
      <c r="BH6" t="s">
        <v>123</v>
      </c>
      <c r="BI6" t="s">
        <v>124</v>
      </c>
      <c r="BJ6" t="b">
        <v>1</v>
      </c>
      <c r="BK6">
        <v>1</v>
      </c>
      <c r="BL6">
        <v>1</v>
      </c>
      <c r="BN6">
        <v>4850034.55</v>
      </c>
      <c r="BO6">
        <v>4850034.55</v>
      </c>
      <c r="BP6">
        <v>4850034.55</v>
      </c>
      <c r="BQ6">
        <v>4850034.55</v>
      </c>
      <c r="BR6">
        <v>4850034.55</v>
      </c>
      <c r="BT6">
        <v>4850034.55</v>
      </c>
      <c r="BU6">
        <v>4850034.55</v>
      </c>
      <c r="BV6">
        <v>4850034.55</v>
      </c>
      <c r="BX6" t="s">
        <v>120</v>
      </c>
      <c r="BY6">
        <v>4850034.55</v>
      </c>
      <c r="CA6">
        <v>20000</v>
      </c>
      <c r="CB6">
        <v>980331064.58999991</v>
      </c>
      <c r="CC6">
        <v>6179333.3999999994</v>
      </c>
      <c r="CD6" t="s">
        <v>128</v>
      </c>
      <c r="CE6" t="s">
        <v>128</v>
      </c>
      <c r="CF6" t="s">
        <v>128</v>
      </c>
      <c r="CH6">
        <v>4850034.55</v>
      </c>
      <c r="CI6">
        <v>4850034.55</v>
      </c>
      <c r="CJ6">
        <v>0</v>
      </c>
      <c r="CK6">
        <v>0</v>
      </c>
      <c r="CO6">
        <v>10</v>
      </c>
      <c r="CP6">
        <v>20</v>
      </c>
      <c r="CQ6">
        <v>100000001</v>
      </c>
      <c r="CR6" t="s">
        <v>129</v>
      </c>
    </row>
    <row r="7" spans="1:96" x14ac:dyDescent="0.25">
      <c r="A7" t="s">
        <v>95</v>
      </c>
      <c r="B7">
        <v>12</v>
      </c>
      <c r="C7">
        <v>100000001</v>
      </c>
      <c r="D7">
        <v>1</v>
      </c>
      <c r="E7">
        <v>1</v>
      </c>
      <c r="F7" t="s">
        <v>96</v>
      </c>
      <c r="G7" t="s">
        <v>97</v>
      </c>
      <c r="H7">
        <v>1</v>
      </c>
      <c r="I7">
        <v>163186</v>
      </c>
      <c r="J7">
        <v>91534082</v>
      </c>
      <c r="K7" t="s">
        <v>98</v>
      </c>
      <c r="L7">
        <v>1</v>
      </c>
      <c r="M7" s="3" t="s">
        <v>99</v>
      </c>
      <c r="N7">
        <v>1</v>
      </c>
      <c r="O7">
        <v>2</v>
      </c>
      <c r="P7">
        <v>0</v>
      </c>
      <c r="Q7">
        <v>0</v>
      </c>
      <c r="R7">
        <v>0</v>
      </c>
      <c r="T7" t="s">
        <v>101</v>
      </c>
      <c r="W7" t="s">
        <v>111</v>
      </c>
      <c r="X7" t="s">
        <v>112</v>
      </c>
      <c r="Y7" t="s">
        <v>96</v>
      </c>
      <c r="Z7" t="s">
        <v>112</v>
      </c>
      <c r="AA7" t="s">
        <v>112</v>
      </c>
      <c r="AB7" t="s">
        <v>112</v>
      </c>
      <c r="AC7" t="s">
        <v>96</v>
      </c>
      <c r="AD7" t="s">
        <v>96</v>
      </c>
      <c r="AE7" t="s">
        <v>113</v>
      </c>
      <c r="AF7" t="b">
        <v>0</v>
      </c>
      <c r="AG7" t="s">
        <v>112</v>
      </c>
      <c r="AH7" t="s">
        <v>112</v>
      </c>
      <c r="AI7" t="s">
        <v>114</v>
      </c>
      <c r="AK7">
        <v>1</v>
      </c>
      <c r="AL7">
        <v>1</v>
      </c>
      <c r="AM7" t="s">
        <v>125</v>
      </c>
      <c r="AN7" t="s">
        <v>126</v>
      </c>
      <c r="AO7" t="s">
        <v>118</v>
      </c>
      <c r="AP7" s="5">
        <v>1</v>
      </c>
      <c r="AT7" t="s">
        <v>120</v>
      </c>
      <c r="AU7" t="str">
        <f>IF(OR(AS7="",AS7="null"),AW7,AS7)</f>
        <v>USD</v>
      </c>
      <c r="AV7" t="s">
        <v>120</v>
      </c>
      <c r="AW7" t="s">
        <v>120</v>
      </c>
      <c r="AX7" t="s">
        <v>121</v>
      </c>
      <c r="AY7">
        <v>10</v>
      </c>
      <c r="AZ7">
        <v>20</v>
      </c>
      <c r="BA7">
        <v>20</v>
      </c>
      <c r="BB7">
        <v>10</v>
      </c>
      <c r="BC7">
        <v>10</v>
      </c>
      <c r="BD7">
        <v>10</v>
      </c>
      <c r="BE7">
        <v>10</v>
      </c>
      <c r="BF7">
        <v>10</v>
      </c>
      <c r="BG7">
        <v>1</v>
      </c>
      <c r="BH7" t="s">
        <v>123</v>
      </c>
      <c r="BI7" t="s">
        <v>124</v>
      </c>
      <c r="BJ7" t="b">
        <v>1</v>
      </c>
      <c r="BK7">
        <v>0</v>
      </c>
      <c r="BL7">
        <v>0</v>
      </c>
      <c r="BM7">
        <v>980316320.15999997</v>
      </c>
      <c r="BW7" t="s">
        <v>120</v>
      </c>
      <c r="BX7" t="s">
        <v>120</v>
      </c>
      <c r="BZ7">
        <v>980316320.15999997</v>
      </c>
      <c r="CB7">
        <v>980331064.58999991</v>
      </c>
      <c r="CC7">
        <v>6179333.3999999994</v>
      </c>
      <c r="CD7" t="s">
        <v>128</v>
      </c>
      <c r="CE7" t="s">
        <v>128</v>
      </c>
      <c r="CF7" t="s">
        <v>128</v>
      </c>
      <c r="CG7">
        <v>980316320.15999997</v>
      </c>
      <c r="CJ7">
        <v>5389982896.1491499</v>
      </c>
      <c r="CK7">
        <v>4224774121.1984601</v>
      </c>
      <c r="CL7">
        <v>5389982896.1491499</v>
      </c>
      <c r="CM7">
        <v>110363201.93069001</v>
      </c>
      <c r="CN7">
        <v>110363201.93069001</v>
      </c>
      <c r="CO7">
        <v>0</v>
      </c>
      <c r="CP7">
        <v>0</v>
      </c>
      <c r="CQ7">
        <v>100000001</v>
      </c>
      <c r="CR7" t="s">
        <v>129</v>
      </c>
    </row>
    <row r="8" spans="1:96" x14ac:dyDescent="0.25">
      <c r="A8" t="s">
        <v>95</v>
      </c>
      <c r="B8">
        <v>12</v>
      </c>
      <c r="C8">
        <v>100000001</v>
      </c>
      <c r="D8">
        <v>2</v>
      </c>
      <c r="E8">
        <v>2</v>
      </c>
      <c r="F8" t="s">
        <v>96</v>
      </c>
      <c r="G8" t="s">
        <v>97</v>
      </c>
      <c r="H8">
        <v>15</v>
      </c>
      <c r="I8">
        <v>163186</v>
      </c>
      <c r="J8">
        <v>27195684</v>
      </c>
      <c r="K8" t="s">
        <v>98</v>
      </c>
      <c r="L8">
        <v>1</v>
      </c>
      <c r="M8" s="3" t="s">
        <v>99</v>
      </c>
      <c r="N8">
        <v>1</v>
      </c>
      <c r="O8">
        <v>2</v>
      </c>
      <c r="P8">
        <v>5</v>
      </c>
      <c r="Q8">
        <v>0</v>
      </c>
      <c r="R8">
        <v>5</v>
      </c>
      <c r="S8" t="s">
        <v>100</v>
      </c>
      <c r="T8" t="s">
        <v>101</v>
      </c>
      <c r="U8" t="s">
        <v>103</v>
      </c>
      <c r="V8" t="s">
        <v>106</v>
      </c>
      <c r="W8" t="s">
        <v>111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96</v>
      </c>
      <c r="AD8" t="s">
        <v>96</v>
      </c>
      <c r="AE8" t="s">
        <v>113</v>
      </c>
      <c r="AF8" t="b">
        <v>0</v>
      </c>
      <c r="AG8" t="s">
        <v>96</v>
      </c>
      <c r="AH8" t="s">
        <v>112</v>
      </c>
      <c r="AI8" t="s">
        <v>114</v>
      </c>
      <c r="AK8">
        <v>1</v>
      </c>
      <c r="AL8">
        <v>0.15</v>
      </c>
      <c r="AM8" t="s">
        <v>116</v>
      </c>
      <c r="AN8" t="s">
        <v>117</v>
      </c>
      <c r="AO8" t="s">
        <v>118</v>
      </c>
      <c r="AP8" s="5">
        <v>1</v>
      </c>
      <c r="AR8" t="s">
        <v>119</v>
      </c>
      <c r="AS8" t="s">
        <v>119</v>
      </c>
      <c r="AU8" t="str">
        <f>IF(OR(AS8="",AS8="null"),AW8,AS8)</f>
        <v>EUR</v>
      </c>
      <c r="AV8" t="s">
        <v>120</v>
      </c>
      <c r="AW8" t="s">
        <v>120</v>
      </c>
      <c r="AX8" t="s">
        <v>121</v>
      </c>
      <c r="AY8">
        <v>10</v>
      </c>
      <c r="AZ8">
        <v>20</v>
      </c>
      <c r="BA8">
        <v>20</v>
      </c>
      <c r="BB8">
        <v>10</v>
      </c>
      <c r="BC8">
        <v>10</v>
      </c>
      <c r="BD8">
        <v>10</v>
      </c>
      <c r="BE8">
        <v>10</v>
      </c>
      <c r="BF8">
        <v>10</v>
      </c>
      <c r="BG8">
        <v>1</v>
      </c>
      <c r="BH8" t="s">
        <v>123</v>
      </c>
      <c r="BI8" t="s">
        <v>124</v>
      </c>
      <c r="BJ8" t="b">
        <v>1</v>
      </c>
      <c r="BK8">
        <v>1</v>
      </c>
      <c r="BL8">
        <v>1</v>
      </c>
      <c r="BN8">
        <v>891186.97</v>
      </c>
      <c r="BO8">
        <v>891186.97</v>
      </c>
      <c r="BP8">
        <v>891186.97</v>
      </c>
      <c r="BQ8">
        <v>891186.97</v>
      </c>
      <c r="BR8">
        <v>891186.97</v>
      </c>
      <c r="BT8">
        <v>891186.97</v>
      </c>
      <c r="BU8">
        <v>891186.97</v>
      </c>
      <c r="BV8">
        <v>891186.97</v>
      </c>
      <c r="BX8" t="s">
        <v>119</v>
      </c>
      <c r="BY8">
        <v>891186.97</v>
      </c>
      <c r="CA8">
        <v>18000</v>
      </c>
      <c r="CB8">
        <v>980331064.58999991</v>
      </c>
      <c r="CC8">
        <v>6179333.3999999994</v>
      </c>
      <c r="CD8" t="s">
        <v>128</v>
      </c>
      <c r="CE8" t="s">
        <v>128</v>
      </c>
      <c r="CF8" t="s">
        <v>128</v>
      </c>
      <c r="CH8">
        <v>891186.97</v>
      </c>
      <c r="CI8">
        <v>891186.97</v>
      </c>
      <c r="CJ8">
        <v>0</v>
      </c>
      <c r="CK8">
        <v>0</v>
      </c>
      <c r="CO8">
        <v>10</v>
      </c>
      <c r="CP8">
        <v>20</v>
      </c>
      <c r="CQ8">
        <v>100000002</v>
      </c>
      <c r="CR8" t="s">
        <v>131</v>
      </c>
    </row>
    <row r="9" spans="1:96" x14ac:dyDescent="0.25">
      <c r="A9" t="s">
        <v>95</v>
      </c>
      <c r="B9">
        <v>12</v>
      </c>
      <c r="C9">
        <v>100000001</v>
      </c>
      <c r="D9">
        <v>2</v>
      </c>
      <c r="E9">
        <v>2</v>
      </c>
      <c r="F9" t="s">
        <v>96</v>
      </c>
      <c r="G9" t="s">
        <v>97</v>
      </c>
      <c r="H9">
        <v>15</v>
      </c>
      <c r="I9">
        <v>163186</v>
      </c>
      <c r="J9">
        <v>60317825</v>
      </c>
      <c r="K9" t="s">
        <v>98</v>
      </c>
      <c r="L9">
        <v>1</v>
      </c>
      <c r="M9" s="3" t="s">
        <v>99</v>
      </c>
      <c r="N9">
        <v>1</v>
      </c>
      <c r="O9">
        <v>2</v>
      </c>
      <c r="P9">
        <v>5</v>
      </c>
      <c r="Q9">
        <v>0</v>
      </c>
      <c r="R9">
        <v>5</v>
      </c>
      <c r="S9" t="s">
        <v>100</v>
      </c>
      <c r="T9" t="s">
        <v>101</v>
      </c>
      <c r="U9" t="s">
        <v>104</v>
      </c>
      <c r="V9" t="s">
        <v>107</v>
      </c>
      <c r="W9" t="s">
        <v>111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96</v>
      </c>
      <c r="AD9" t="s">
        <v>96</v>
      </c>
      <c r="AE9" t="s">
        <v>113</v>
      </c>
      <c r="AF9" t="b">
        <v>0</v>
      </c>
      <c r="AG9" t="s">
        <v>96</v>
      </c>
      <c r="AH9" t="s">
        <v>112</v>
      </c>
      <c r="AI9" t="s">
        <v>114</v>
      </c>
      <c r="AK9">
        <v>1</v>
      </c>
      <c r="AL9">
        <v>0.25</v>
      </c>
      <c r="AM9" t="s">
        <v>116</v>
      </c>
      <c r="AN9" t="s">
        <v>117</v>
      </c>
      <c r="AO9" t="s">
        <v>118</v>
      </c>
      <c r="AP9" s="5">
        <v>1</v>
      </c>
      <c r="AR9" t="s">
        <v>120</v>
      </c>
      <c r="AS9" t="s">
        <v>120</v>
      </c>
      <c r="AU9" t="str">
        <f t="shared" ref="AU9:AU12" si="1">IF(OR(AS9="",AS9="null"),AW9,AS9)</f>
        <v>USD</v>
      </c>
      <c r="AV9" t="s">
        <v>120</v>
      </c>
      <c r="AW9" t="s">
        <v>120</v>
      </c>
      <c r="AX9" t="s">
        <v>121</v>
      </c>
      <c r="AY9">
        <v>10</v>
      </c>
      <c r="AZ9">
        <v>20</v>
      </c>
      <c r="BA9">
        <v>20</v>
      </c>
      <c r="BB9">
        <v>10</v>
      </c>
      <c r="BC9">
        <v>10</v>
      </c>
      <c r="BD9">
        <v>10</v>
      </c>
      <c r="BE9">
        <v>10</v>
      </c>
      <c r="BF9">
        <v>10</v>
      </c>
      <c r="BG9">
        <v>1</v>
      </c>
      <c r="BH9" t="s">
        <v>123</v>
      </c>
      <c r="BI9" t="s">
        <v>124</v>
      </c>
      <c r="BJ9" t="b">
        <v>1</v>
      </c>
      <c r="BK9">
        <v>1</v>
      </c>
      <c r="BL9">
        <v>1</v>
      </c>
      <c r="BN9">
        <v>113431.08</v>
      </c>
      <c r="BO9">
        <v>113431.08</v>
      </c>
      <c r="BP9">
        <v>113431.08</v>
      </c>
      <c r="BQ9">
        <v>113431.08</v>
      </c>
      <c r="BR9">
        <v>113431.08</v>
      </c>
      <c r="BT9">
        <v>113431.08</v>
      </c>
      <c r="BU9">
        <v>113431.08</v>
      </c>
      <c r="BV9">
        <v>113431.08</v>
      </c>
      <c r="BX9" t="s">
        <v>120</v>
      </c>
      <c r="BY9">
        <v>113431.08</v>
      </c>
      <c r="CA9">
        <v>8000</v>
      </c>
      <c r="CB9">
        <v>980331064.58999991</v>
      </c>
      <c r="CC9">
        <v>6179333.3999999994</v>
      </c>
      <c r="CD9" t="s">
        <v>128</v>
      </c>
      <c r="CE9" t="s">
        <v>128</v>
      </c>
      <c r="CF9" t="s">
        <v>128</v>
      </c>
      <c r="CH9">
        <v>113431.08</v>
      </c>
      <c r="CI9">
        <v>113431.08</v>
      </c>
      <c r="CJ9">
        <v>0</v>
      </c>
      <c r="CK9">
        <v>0</v>
      </c>
      <c r="CO9">
        <v>10</v>
      </c>
      <c r="CP9">
        <v>20</v>
      </c>
      <c r="CQ9">
        <v>100000002</v>
      </c>
      <c r="CR9" t="s">
        <v>131</v>
      </c>
    </row>
    <row r="10" spans="1:96" x14ac:dyDescent="0.25">
      <c r="A10" t="s">
        <v>95</v>
      </c>
      <c r="B10">
        <v>12</v>
      </c>
      <c r="C10">
        <v>100000001</v>
      </c>
      <c r="D10">
        <v>2</v>
      </c>
      <c r="E10">
        <v>2</v>
      </c>
      <c r="F10" t="s">
        <v>96</v>
      </c>
      <c r="G10" t="s">
        <v>97</v>
      </c>
      <c r="H10">
        <v>15</v>
      </c>
      <c r="I10">
        <v>163186</v>
      </c>
      <c r="J10">
        <v>84051763</v>
      </c>
      <c r="K10" t="s">
        <v>98</v>
      </c>
      <c r="L10">
        <v>1</v>
      </c>
      <c r="M10" s="3" t="s">
        <v>99</v>
      </c>
      <c r="N10">
        <v>1</v>
      </c>
      <c r="O10">
        <v>2</v>
      </c>
      <c r="P10">
        <v>5</v>
      </c>
      <c r="Q10">
        <v>0</v>
      </c>
      <c r="R10">
        <v>5</v>
      </c>
      <c r="S10" t="s">
        <v>100</v>
      </c>
      <c r="T10" t="s">
        <v>101</v>
      </c>
      <c r="U10">
        <v>294382048</v>
      </c>
      <c r="V10" t="s">
        <v>108</v>
      </c>
      <c r="W10" t="s">
        <v>111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96</v>
      </c>
      <c r="AD10" t="s">
        <v>96</v>
      </c>
      <c r="AE10" t="s">
        <v>113</v>
      </c>
      <c r="AF10" t="b">
        <v>0</v>
      </c>
      <c r="AG10" t="s">
        <v>96</v>
      </c>
      <c r="AH10" t="s">
        <v>112</v>
      </c>
      <c r="AI10" t="s">
        <v>114</v>
      </c>
      <c r="AJ10" t="s">
        <v>115</v>
      </c>
      <c r="AK10">
        <v>1</v>
      </c>
      <c r="AL10">
        <v>0.25</v>
      </c>
      <c r="AM10" t="s">
        <v>116</v>
      </c>
      <c r="AN10" t="s">
        <v>117</v>
      </c>
      <c r="AO10" t="s">
        <v>118</v>
      </c>
      <c r="AP10" s="5">
        <v>1</v>
      </c>
      <c r="AR10" t="s">
        <v>120</v>
      </c>
      <c r="AS10" t="s">
        <v>120</v>
      </c>
      <c r="AU10" t="str">
        <f t="shared" si="1"/>
        <v>USD</v>
      </c>
      <c r="AV10" t="s">
        <v>120</v>
      </c>
      <c r="AW10" t="s">
        <v>120</v>
      </c>
      <c r="AX10" t="s">
        <v>122</v>
      </c>
      <c r="AY10">
        <v>10</v>
      </c>
      <c r="AZ10">
        <v>20</v>
      </c>
      <c r="BA10">
        <v>20</v>
      </c>
      <c r="BB10">
        <v>10</v>
      </c>
      <c r="BC10">
        <v>10</v>
      </c>
      <c r="BD10">
        <v>10</v>
      </c>
      <c r="BE10">
        <v>10</v>
      </c>
      <c r="BF10">
        <v>10</v>
      </c>
      <c r="BG10">
        <v>1</v>
      </c>
      <c r="BH10" t="s">
        <v>123</v>
      </c>
      <c r="BI10" t="s">
        <v>124</v>
      </c>
      <c r="BJ10" t="b">
        <v>1</v>
      </c>
      <c r="BK10">
        <v>1</v>
      </c>
      <c r="BL10">
        <v>1</v>
      </c>
      <c r="BM10">
        <v>14744.43</v>
      </c>
      <c r="BS10">
        <v>14744.43</v>
      </c>
      <c r="BW10" t="s">
        <v>120</v>
      </c>
      <c r="BZ10">
        <v>14744.43</v>
      </c>
      <c r="CA10">
        <v>1000</v>
      </c>
      <c r="CB10">
        <v>980331064.58999991</v>
      </c>
      <c r="CC10">
        <v>6179333.3999999994</v>
      </c>
      <c r="CD10" t="s">
        <v>128</v>
      </c>
      <c r="CE10" t="s">
        <v>128</v>
      </c>
      <c r="CF10" t="s">
        <v>128</v>
      </c>
      <c r="CH10">
        <v>14744.43</v>
      </c>
      <c r="CI10">
        <v>14744.43</v>
      </c>
      <c r="CJ10">
        <v>0</v>
      </c>
      <c r="CK10">
        <v>0</v>
      </c>
      <c r="CO10">
        <v>10</v>
      </c>
      <c r="CP10">
        <v>20</v>
      </c>
      <c r="CQ10">
        <v>100000002</v>
      </c>
      <c r="CR10" t="s">
        <v>131</v>
      </c>
    </row>
    <row r="11" spans="1:96" x14ac:dyDescent="0.25">
      <c r="A11" t="s">
        <v>95</v>
      </c>
      <c r="B11">
        <v>12</v>
      </c>
      <c r="C11">
        <v>100000001</v>
      </c>
      <c r="D11">
        <v>2</v>
      </c>
      <c r="E11">
        <v>2</v>
      </c>
      <c r="F11" t="s">
        <v>96</v>
      </c>
      <c r="G11" t="s">
        <v>97</v>
      </c>
      <c r="H11">
        <v>15</v>
      </c>
      <c r="I11">
        <v>163186</v>
      </c>
      <c r="J11">
        <v>35946217</v>
      </c>
      <c r="K11" t="s">
        <v>98</v>
      </c>
      <c r="L11">
        <v>1</v>
      </c>
      <c r="M11" s="3" t="s">
        <v>99</v>
      </c>
      <c r="N11">
        <v>1</v>
      </c>
      <c r="O11">
        <v>2</v>
      </c>
      <c r="P11">
        <v>5</v>
      </c>
      <c r="Q11">
        <v>0</v>
      </c>
      <c r="R11">
        <v>5</v>
      </c>
      <c r="S11" t="s">
        <v>100</v>
      </c>
      <c r="T11" t="s">
        <v>101</v>
      </c>
      <c r="U11">
        <v>325892398</v>
      </c>
      <c r="V11" t="s">
        <v>109</v>
      </c>
      <c r="W11" t="s">
        <v>111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96</v>
      </c>
      <c r="AD11" t="s">
        <v>96</v>
      </c>
      <c r="AE11" t="s">
        <v>113</v>
      </c>
      <c r="AF11" t="b">
        <v>0</v>
      </c>
      <c r="AG11" t="s">
        <v>96</v>
      </c>
      <c r="AH11" t="s">
        <v>112</v>
      </c>
      <c r="AI11" t="s">
        <v>114</v>
      </c>
      <c r="AK11">
        <v>1</v>
      </c>
      <c r="AL11">
        <v>0.25</v>
      </c>
      <c r="AM11" t="s">
        <v>116</v>
      </c>
      <c r="AN11" t="s">
        <v>117</v>
      </c>
      <c r="AO11" t="s">
        <v>118</v>
      </c>
      <c r="AP11" s="5">
        <v>1</v>
      </c>
      <c r="AR11" t="s">
        <v>120</v>
      </c>
      <c r="AS11" t="s">
        <v>120</v>
      </c>
      <c r="AU11" t="str">
        <f t="shared" si="1"/>
        <v>USD</v>
      </c>
      <c r="AV11" t="s">
        <v>120</v>
      </c>
      <c r="AW11" t="s">
        <v>120</v>
      </c>
      <c r="AX11" t="s">
        <v>121</v>
      </c>
      <c r="AY11">
        <v>10</v>
      </c>
      <c r="AZ11">
        <v>20</v>
      </c>
      <c r="BA11">
        <v>20</v>
      </c>
      <c r="BB11">
        <v>10</v>
      </c>
      <c r="BC11">
        <v>10</v>
      </c>
      <c r="BD11">
        <v>10</v>
      </c>
      <c r="BE11">
        <v>10</v>
      </c>
      <c r="BF11">
        <v>10</v>
      </c>
      <c r="BG11">
        <v>1</v>
      </c>
      <c r="BH11" t="s">
        <v>123</v>
      </c>
      <c r="BI11" t="s">
        <v>124</v>
      </c>
      <c r="BJ11" t="b">
        <v>1</v>
      </c>
      <c r="BK11">
        <v>1</v>
      </c>
      <c r="BL11">
        <v>1</v>
      </c>
      <c r="BN11">
        <v>324680.8</v>
      </c>
      <c r="BO11">
        <v>324680.8</v>
      </c>
      <c r="BP11">
        <v>324680.8</v>
      </c>
      <c r="BQ11">
        <v>324680.8</v>
      </c>
      <c r="BR11">
        <v>324680.8</v>
      </c>
      <c r="BT11">
        <v>324680.8</v>
      </c>
      <c r="BU11">
        <v>324680.8</v>
      </c>
      <c r="BV11">
        <v>324680.8</v>
      </c>
      <c r="BX11" t="s">
        <v>120</v>
      </c>
      <c r="BY11">
        <v>324680.8</v>
      </c>
      <c r="CA11">
        <v>7000</v>
      </c>
      <c r="CB11">
        <v>980331064.58999991</v>
      </c>
      <c r="CC11">
        <v>6179333.3999999994</v>
      </c>
      <c r="CD11" t="s">
        <v>128</v>
      </c>
      <c r="CE11" t="s">
        <v>128</v>
      </c>
      <c r="CF11" t="s">
        <v>128</v>
      </c>
      <c r="CH11">
        <v>324680.8</v>
      </c>
      <c r="CI11">
        <v>324680.8</v>
      </c>
      <c r="CJ11">
        <v>0</v>
      </c>
      <c r="CK11">
        <v>0</v>
      </c>
      <c r="CO11">
        <v>10</v>
      </c>
      <c r="CP11">
        <v>20</v>
      </c>
      <c r="CQ11">
        <v>100000002</v>
      </c>
      <c r="CR11" t="s">
        <v>131</v>
      </c>
    </row>
    <row r="12" spans="1:96" x14ac:dyDescent="0.25">
      <c r="A12" t="s">
        <v>95</v>
      </c>
      <c r="B12">
        <v>12</v>
      </c>
      <c r="C12">
        <v>100000001</v>
      </c>
      <c r="D12">
        <v>2</v>
      </c>
      <c r="E12">
        <v>2</v>
      </c>
      <c r="F12" t="s">
        <v>96</v>
      </c>
      <c r="G12" t="s">
        <v>97</v>
      </c>
      <c r="H12">
        <v>15</v>
      </c>
      <c r="I12">
        <v>163186</v>
      </c>
      <c r="J12">
        <v>74268109</v>
      </c>
      <c r="K12" t="s">
        <v>98</v>
      </c>
      <c r="L12">
        <v>1</v>
      </c>
      <c r="M12" s="3" t="s">
        <v>99</v>
      </c>
      <c r="N12">
        <v>1</v>
      </c>
      <c r="O12">
        <v>2</v>
      </c>
      <c r="P12">
        <v>5</v>
      </c>
      <c r="Q12">
        <v>0</v>
      </c>
      <c r="R12">
        <v>5</v>
      </c>
      <c r="S12" t="s">
        <v>100</v>
      </c>
      <c r="T12" t="s">
        <v>101</v>
      </c>
      <c r="U12" t="s">
        <v>105</v>
      </c>
      <c r="V12" t="s">
        <v>110</v>
      </c>
      <c r="W12" t="s">
        <v>111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96</v>
      </c>
      <c r="AD12" t="s">
        <v>96</v>
      </c>
      <c r="AE12" t="s">
        <v>113</v>
      </c>
      <c r="AF12" t="b">
        <v>0</v>
      </c>
      <c r="AG12" t="s">
        <v>96</v>
      </c>
      <c r="AH12" t="s">
        <v>112</v>
      </c>
      <c r="AI12" t="s">
        <v>114</v>
      </c>
      <c r="AK12">
        <v>1</v>
      </c>
      <c r="AL12">
        <v>0.15</v>
      </c>
      <c r="AM12" t="s">
        <v>116</v>
      </c>
      <c r="AN12" t="s">
        <v>117</v>
      </c>
      <c r="AO12" t="s">
        <v>118</v>
      </c>
      <c r="AP12" s="5">
        <v>1</v>
      </c>
      <c r="AR12" t="s">
        <v>120</v>
      </c>
      <c r="AS12" t="s">
        <v>120</v>
      </c>
      <c r="AU12" t="str">
        <f t="shared" si="1"/>
        <v>USD</v>
      </c>
      <c r="AV12" t="s">
        <v>120</v>
      </c>
      <c r="AW12" t="s">
        <v>120</v>
      </c>
      <c r="AX12" t="s">
        <v>121</v>
      </c>
      <c r="AY12">
        <v>10</v>
      </c>
      <c r="AZ12">
        <v>20</v>
      </c>
      <c r="BA12">
        <v>20</v>
      </c>
      <c r="BB12">
        <v>10</v>
      </c>
      <c r="BC12">
        <v>10</v>
      </c>
      <c r="BD12">
        <v>10</v>
      </c>
      <c r="BE12">
        <v>10</v>
      </c>
      <c r="BF12">
        <v>10</v>
      </c>
      <c r="BG12">
        <v>1</v>
      </c>
      <c r="BH12" t="s">
        <v>123</v>
      </c>
      <c r="BI12" t="s">
        <v>124</v>
      </c>
      <c r="BJ12" t="b">
        <v>1</v>
      </c>
      <c r="BK12">
        <v>1</v>
      </c>
      <c r="BL12">
        <v>1</v>
      </c>
      <c r="BN12">
        <v>4850034.55</v>
      </c>
      <c r="BO12">
        <v>4850034.55</v>
      </c>
      <c r="BP12">
        <v>4850034.55</v>
      </c>
      <c r="BQ12">
        <v>4850034.55</v>
      </c>
      <c r="BR12">
        <v>4850034.55</v>
      </c>
      <c r="BT12">
        <v>4850034.55</v>
      </c>
      <c r="BU12">
        <v>4850034.55</v>
      </c>
      <c r="BV12">
        <v>4850034.55</v>
      </c>
      <c r="BX12" t="s">
        <v>120</v>
      </c>
      <c r="BY12">
        <v>4850034.55</v>
      </c>
      <c r="CA12">
        <v>20000</v>
      </c>
      <c r="CB12">
        <v>980331064.58999991</v>
      </c>
      <c r="CC12">
        <v>6179333.3999999994</v>
      </c>
      <c r="CD12" t="s">
        <v>128</v>
      </c>
      <c r="CE12" t="s">
        <v>128</v>
      </c>
      <c r="CF12" t="s">
        <v>128</v>
      </c>
      <c r="CH12">
        <v>4850034.55</v>
      </c>
      <c r="CI12">
        <v>4850034.55</v>
      </c>
      <c r="CJ12">
        <v>0</v>
      </c>
      <c r="CK12">
        <v>0</v>
      </c>
      <c r="CO12">
        <v>10</v>
      </c>
      <c r="CP12">
        <v>20</v>
      </c>
      <c r="CQ12">
        <v>100000002</v>
      </c>
      <c r="CR12" t="s">
        <v>131</v>
      </c>
    </row>
    <row r="13" spans="1:96" x14ac:dyDescent="0.25">
      <c r="A13" t="s">
        <v>95</v>
      </c>
      <c r="B13">
        <v>12</v>
      </c>
      <c r="C13">
        <v>100000001</v>
      </c>
      <c r="D13">
        <v>2</v>
      </c>
      <c r="E13">
        <v>2</v>
      </c>
      <c r="F13" t="s">
        <v>96</v>
      </c>
      <c r="G13" t="s">
        <v>97</v>
      </c>
      <c r="H13">
        <v>1</v>
      </c>
      <c r="I13">
        <v>163186</v>
      </c>
      <c r="J13">
        <v>10835642</v>
      </c>
      <c r="K13" t="s">
        <v>98</v>
      </c>
      <c r="L13">
        <v>1</v>
      </c>
      <c r="M13" s="3" t="s">
        <v>99</v>
      </c>
      <c r="N13">
        <v>1</v>
      </c>
      <c r="O13">
        <v>2</v>
      </c>
      <c r="P13">
        <v>0</v>
      </c>
      <c r="Q13">
        <v>0</v>
      </c>
      <c r="R13">
        <v>0</v>
      </c>
      <c r="T13" t="s">
        <v>101</v>
      </c>
      <c r="W13" t="s">
        <v>111</v>
      </c>
      <c r="X13" t="s">
        <v>112</v>
      </c>
      <c r="Y13" t="s">
        <v>96</v>
      </c>
      <c r="Z13" t="s">
        <v>112</v>
      </c>
      <c r="AA13" t="s">
        <v>112</v>
      </c>
      <c r="AB13" t="s">
        <v>112</v>
      </c>
      <c r="AC13" t="s">
        <v>96</v>
      </c>
      <c r="AD13" t="s">
        <v>96</v>
      </c>
      <c r="AE13" t="s">
        <v>113</v>
      </c>
      <c r="AF13" t="b">
        <v>0</v>
      </c>
      <c r="AG13" t="s">
        <v>112</v>
      </c>
      <c r="AH13" t="s">
        <v>112</v>
      </c>
      <c r="AI13" t="s">
        <v>114</v>
      </c>
      <c r="AK13">
        <v>1</v>
      </c>
      <c r="AL13">
        <v>1</v>
      </c>
      <c r="AM13" t="s">
        <v>125</v>
      </c>
      <c r="AN13" t="s">
        <v>126</v>
      </c>
      <c r="AO13" t="s">
        <v>118</v>
      </c>
      <c r="AP13" s="5">
        <v>1</v>
      </c>
      <c r="AT13" t="s">
        <v>120</v>
      </c>
      <c r="AU13" t="str">
        <f>IF(OR(AS13="",AS13="null"),AW13,AS13)</f>
        <v>USD</v>
      </c>
      <c r="AV13" t="s">
        <v>120</v>
      </c>
      <c r="AW13" t="s">
        <v>120</v>
      </c>
      <c r="AX13" t="s">
        <v>121</v>
      </c>
      <c r="AY13">
        <v>10</v>
      </c>
      <c r="AZ13">
        <v>20</v>
      </c>
      <c r="BA13">
        <v>20</v>
      </c>
      <c r="BB13">
        <v>10</v>
      </c>
      <c r="BC13">
        <v>10</v>
      </c>
      <c r="BD13">
        <v>10</v>
      </c>
      <c r="BE13">
        <v>10</v>
      </c>
      <c r="BF13">
        <v>10</v>
      </c>
      <c r="BG13">
        <v>1</v>
      </c>
      <c r="BH13" t="s">
        <v>123</v>
      </c>
      <c r="BI13" t="s">
        <v>124</v>
      </c>
      <c r="BJ13" t="b">
        <v>1</v>
      </c>
      <c r="BK13">
        <v>0</v>
      </c>
      <c r="BL13">
        <v>0</v>
      </c>
      <c r="BM13">
        <v>980316320.15999997</v>
      </c>
      <c r="BW13" t="s">
        <v>120</v>
      </c>
      <c r="BX13" t="s">
        <v>120</v>
      </c>
      <c r="BZ13">
        <v>980316320.15999997</v>
      </c>
      <c r="CB13">
        <v>980331064.58999991</v>
      </c>
      <c r="CC13">
        <v>6179333.3999999994</v>
      </c>
      <c r="CD13" t="s">
        <v>128</v>
      </c>
      <c r="CE13" t="s">
        <v>128</v>
      </c>
      <c r="CF13" t="s">
        <v>128</v>
      </c>
      <c r="CG13">
        <v>980316320.15999997</v>
      </c>
      <c r="CJ13">
        <v>5389982896.1491499</v>
      </c>
      <c r="CK13">
        <v>4224774121.1984601</v>
      </c>
      <c r="CL13">
        <v>5389982896.1491499</v>
      </c>
      <c r="CM13">
        <v>110363201.93069001</v>
      </c>
      <c r="CN13">
        <v>110363201.93069001</v>
      </c>
      <c r="CO13">
        <v>0</v>
      </c>
      <c r="CP13">
        <v>0</v>
      </c>
      <c r="CQ13">
        <v>100000002</v>
      </c>
      <c r="CR13" t="s">
        <v>131</v>
      </c>
    </row>
    <row r="14" spans="1:96" x14ac:dyDescent="0.25">
      <c r="A14" t="s">
        <v>95</v>
      </c>
      <c r="B14">
        <v>12</v>
      </c>
      <c r="C14">
        <v>100000001</v>
      </c>
      <c r="D14">
        <v>2</v>
      </c>
      <c r="E14">
        <v>2</v>
      </c>
      <c r="F14" t="s">
        <v>96</v>
      </c>
      <c r="G14" t="s">
        <v>97</v>
      </c>
      <c r="H14">
        <v>15</v>
      </c>
      <c r="I14">
        <v>163186</v>
      </c>
      <c r="J14">
        <v>56721483</v>
      </c>
      <c r="K14" t="s">
        <v>98</v>
      </c>
      <c r="L14">
        <v>1</v>
      </c>
      <c r="M14" s="3" t="s">
        <v>99</v>
      </c>
      <c r="N14">
        <v>1</v>
      </c>
      <c r="O14">
        <v>2</v>
      </c>
      <c r="P14">
        <v>5</v>
      </c>
      <c r="Q14">
        <v>0</v>
      </c>
      <c r="R14">
        <v>5</v>
      </c>
      <c r="S14" t="s">
        <v>100</v>
      </c>
      <c r="T14" t="s">
        <v>101</v>
      </c>
      <c r="U14" t="s">
        <v>103</v>
      </c>
      <c r="V14" t="s">
        <v>106</v>
      </c>
      <c r="W14" t="s">
        <v>111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96</v>
      </c>
      <c r="AD14" t="s">
        <v>96</v>
      </c>
      <c r="AE14" t="s">
        <v>113</v>
      </c>
      <c r="AF14" t="b">
        <v>0</v>
      </c>
      <c r="AG14" t="s">
        <v>96</v>
      </c>
      <c r="AH14" t="s">
        <v>112</v>
      </c>
      <c r="AI14" t="s">
        <v>114</v>
      </c>
      <c r="AK14">
        <v>1</v>
      </c>
      <c r="AL14">
        <v>0.15</v>
      </c>
      <c r="AM14" t="s">
        <v>116</v>
      </c>
      <c r="AN14" t="s">
        <v>117</v>
      </c>
      <c r="AO14" t="s">
        <v>118</v>
      </c>
      <c r="AP14" s="5">
        <v>1</v>
      </c>
      <c r="AR14" t="s">
        <v>119</v>
      </c>
      <c r="AS14" t="s">
        <v>119</v>
      </c>
      <c r="AU14" t="str">
        <f>IF(OR(AS14="",AS14="null"),AW14,AS14)</f>
        <v>EUR</v>
      </c>
      <c r="AV14" t="s">
        <v>120</v>
      </c>
      <c r="AW14" t="s">
        <v>120</v>
      </c>
      <c r="AX14" t="s">
        <v>121</v>
      </c>
      <c r="AY14">
        <v>10</v>
      </c>
      <c r="AZ14">
        <v>20</v>
      </c>
      <c r="BA14">
        <v>20</v>
      </c>
      <c r="BB14">
        <v>10</v>
      </c>
      <c r="BC14">
        <v>10</v>
      </c>
      <c r="BD14">
        <v>10</v>
      </c>
      <c r="BE14">
        <v>10</v>
      </c>
      <c r="BF14">
        <v>10</v>
      </c>
      <c r="BG14">
        <v>1</v>
      </c>
      <c r="BH14" t="s">
        <v>123</v>
      </c>
      <c r="BI14" t="s">
        <v>124</v>
      </c>
      <c r="BJ14" t="b">
        <v>1</v>
      </c>
      <c r="BK14">
        <v>1</v>
      </c>
      <c r="BL14">
        <v>1</v>
      </c>
      <c r="BN14">
        <v>891186.97</v>
      </c>
      <c r="BO14">
        <v>891186.97</v>
      </c>
      <c r="BP14">
        <v>891186.97</v>
      </c>
      <c r="BQ14">
        <v>891186.97</v>
      </c>
      <c r="BR14">
        <v>891186.97</v>
      </c>
      <c r="BT14">
        <v>891186.97</v>
      </c>
      <c r="BU14">
        <v>891186.97</v>
      </c>
      <c r="BV14">
        <v>891186.97</v>
      </c>
      <c r="BX14" t="s">
        <v>119</v>
      </c>
      <c r="BY14">
        <v>891186.97</v>
      </c>
      <c r="CA14">
        <v>18000</v>
      </c>
      <c r="CB14">
        <v>980331064.58999991</v>
      </c>
      <c r="CC14">
        <v>6179333.3999999994</v>
      </c>
      <c r="CD14" t="s">
        <v>128</v>
      </c>
      <c r="CE14" t="s">
        <v>128</v>
      </c>
      <c r="CF14" t="s">
        <v>128</v>
      </c>
      <c r="CH14">
        <v>891186.97</v>
      </c>
      <c r="CI14">
        <v>891186.97</v>
      </c>
      <c r="CJ14">
        <v>0</v>
      </c>
      <c r="CK14">
        <v>0</v>
      </c>
      <c r="CO14">
        <v>10</v>
      </c>
      <c r="CP14">
        <v>20</v>
      </c>
      <c r="CQ14">
        <v>100000002</v>
      </c>
      <c r="CR14" t="s">
        <v>131</v>
      </c>
    </row>
    <row r="15" spans="1:96" x14ac:dyDescent="0.25">
      <c r="A15" t="s">
        <v>95</v>
      </c>
      <c r="B15">
        <v>12</v>
      </c>
      <c r="C15">
        <v>100000001</v>
      </c>
      <c r="D15">
        <v>3</v>
      </c>
      <c r="E15">
        <v>3</v>
      </c>
      <c r="F15" t="s">
        <v>96</v>
      </c>
      <c r="G15" t="s">
        <v>130</v>
      </c>
      <c r="H15">
        <v>15</v>
      </c>
      <c r="I15">
        <v>163186</v>
      </c>
      <c r="J15">
        <v>62084915</v>
      </c>
      <c r="K15" t="s">
        <v>98</v>
      </c>
      <c r="L15">
        <v>1</v>
      </c>
      <c r="M15" s="3" t="s">
        <v>99</v>
      </c>
      <c r="N15">
        <v>1</v>
      </c>
      <c r="O15">
        <v>2</v>
      </c>
      <c r="P15">
        <v>5</v>
      </c>
      <c r="Q15">
        <v>0</v>
      </c>
      <c r="R15">
        <v>5</v>
      </c>
      <c r="S15" t="s">
        <v>100</v>
      </c>
      <c r="T15" t="s">
        <v>101</v>
      </c>
      <c r="U15" t="s">
        <v>104</v>
      </c>
      <c r="V15" t="s">
        <v>107</v>
      </c>
      <c r="W15" t="s">
        <v>111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96</v>
      </c>
      <c r="AD15" t="s">
        <v>96</v>
      </c>
      <c r="AE15" t="s">
        <v>113</v>
      </c>
      <c r="AF15" t="b">
        <v>0</v>
      </c>
      <c r="AG15" t="s">
        <v>96</v>
      </c>
      <c r="AH15" t="s">
        <v>112</v>
      </c>
      <c r="AI15" t="s">
        <v>114</v>
      </c>
      <c r="AK15">
        <v>1</v>
      </c>
      <c r="AL15">
        <v>0.25</v>
      </c>
      <c r="AM15" t="s">
        <v>116</v>
      </c>
      <c r="AN15" t="s">
        <v>117</v>
      </c>
      <c r="AO15" t="s">
        <v>118</v>
      </c>
      <c r="AP15" s="5">
        <v>1</v>
      </c>
      <c r="AR15" t="s">
        <v>120</v>
      </c>
      <c r="AS15" t="s">
        <v>120</v>
      </c>
      <c r="AU15" t="str">
        <f t="shared" ref="AU15:AU18" si="2">IF(OR(AS15="",AS15="null"),AW15,AS15)</f>
        <v>USD</v>
      </c>
      <c r="AV15" t="s">
        <v>120</v>
      </c>
      <c r="AW15" t="s">
        <v>120</v>
      </c>
      <c r="AX15" t="s">
        <v>121</v>
      </c>
      <c r="AY15">
        <v>10</v>
      </c>
      <c r="AZ15">
        <v>20</v>
      </c>
      <c r="BA15">
        <v>20</v>
      </c>
      <c r="BB15">
        <v>10</v>
      </c>
      <c r="BC15">
        <v>10</v>
      </c>
      <c r="BD15">
        <v>10</v>
      </c>
      <c r="BE15">
        <v>10</v>
      </c>
      <c r="BF15">
        <v>10</v>
      </c>
      <c r="BG15">
        <v>1</v>
      </c>
      <c r="BH15" t="s">
        <v>123</v>
      </c>
      <c r="BI15" t="s">
        <v>124</v>
      </c>
      <c r="BJ15" t="b">
        <v>1</v>
      </c>
      <c r="BK15">
        <v>1</v>
      </c>
      <c r="BL15">
        <v>1</v>
      </c>
      <c r="BN15">
        <v>113431.08</v>
      </c>
      <c r="BO15">
        <v>113431.08</v>
      </c>
      <c r="BP15">
        <v>113431.08</v>
      </c>
      <c r="BQ15">
        <v>113431.08</v>
      </c>
      <c r="BR15">
        <v>113431.08</v>
      </c>
      <c r="BT15">
        <v>113431.08</v>
      </c>
      <c r="BU15">
        <v>113431.08</v>
      </c>
      <c r="BV15">
        <v>113431.08</v>
      </c>
      <c r="BX15" t="s">
        <v>120</v>
      </c>
      <c r="BY15">
        <v>113431.08</v>
      </c>
      <c r="CA15">
        <v>8000</v>
      </c>
      <c r="CB15">
        <v>980331064.58999991</v>
      </c>
      <c r="CC15">
        <v>6179333.3999999994</v>
      </c>
      <c r="CD15" t="s">
        <v>128</v>
      </c>
      <c r="CE15" t="s">
        <v>128</v>
      </c>
      <c r="CF15" t="s">
        <v>128</v>
      </c>
      <c r="CH15">
        <v>113431.08</v>
      </c>
      <c r="CI15">
        <v>113431.08</v>
      </c>
      <c r="CJ15">
        <v>0</v>
      </c>
      <c r="CK15">
        <v>0</v>
      </c>
      <c r="CO15">
        <v>10</v>
      </c>
      <c r="CP15">
        <v>20</v>
      </c>
      <c r="CQ15">
        <v>100000003</v>
      </c>
      <c r="CR15" t="s">
        <v>132</v>
      </c>
    </row>
    <row r="16" spans="1:96" x14ac:dyDescent="0.25">
      <c r="A16" t="s">
        <v>95</v>
      </c>
      <c r="B16">
        <v>12</v>
      </c>
      <c r="C16">
        <v>100000001</v>
      </c>
      <c r="D16">
        <v>3</v>
      </c>
      <c r="E16">
        <v>3</v>
      </c>
      <c r="F16" t="s">
        <v>96</v>
      </c>
      <c r="G16" t="s">
        <v>130</v>
      </c>
      <c r="H16">
        <v>15</v>
      </c>
      <c r="I16">
        <v>163186</v>
      </c>
      <c r="J16">
        <v>25319760</v>
      </c>
      <c r="K16" t="s">
        <v>98</v>
      </c>
      <c r="L16">
        <v>1</v>
      </c>
      <c r="M16" s="3" t="s">
        <v>99</v>
      </c>
      <c r="N16">
        <v>1</v>
      </c>
      <c r="O16">
        <v>2</v>
      </c>
      <c r="P16">
        <v>5</v>
      </c>
      <c r="Q16">
        <v>0</v>
      </c>
      <c r="R16">
        <v>5</v>
      </c>
      <c r="S16" t="s">
        <v>100</v>
      </c>
      <c r="T16" t="s">
        <v>101</v>
      </c>
      <c r="U16">
        <v>294382048</v>
      </c>
      <c r="V16" t="s">
        <v>108</v>
      </c>
      <c r="W16" t="s">
        <v>111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96</v>
      </c>
      <c r="AD16" t="s">
        <v>96</v>
      </c>
      <c r="AE16" t="s">
        <v>113</v>
      </c>
      <c r="AF16" t="b">
        <v>0</v>
      </c>
      <c r="AG16" t="s">
        <v>96</v>
      </c>
      <c r="AH16" t="s">
        <v>112</v>
      </c>
      <c r="AI16" t="s">
        <v>114</v>
      </c>
      <c r="AJ16" t="s">
        <v>115</v>
      </c>
      <c r="AK16">
        <v>1</v>
      </c>
      <c r="AL16">
        <v>0.25</v>
      </c>
      <c r="AM16" t="s">
        <v>116</v>
      </c>
      <c r="AN16" t="s">
        <v>117</v>
      </c>
      <c r="AO16" t="s">
        <v>118</v>
      </c>
      <c r="AP16" s="5">
        <v>1</v>
      </c>
      <c r="AR16" t="s">
        <v>120</v>
      </c>
      <c r="AS16" t="s">
        <v>120</v>
      </c>
      <c r="AU16" t="str">
        <f t="shared" si="2"/>
        <v>USD</v>
      </c>
      <c r="AV16" t="s">
        <v>120</v>
      </c>
      <c r="AW16" t="s">
        <v>120</v>
      </c>
      <c r="AX16" t="s">
        <v>122</v>
      </c>
      <c r="AY16">
        <v>10</v>
      </c>
      <c r="AZ16">
        <v>20</v>
      </c>
      <c r="BA16">
        <v>20</v>
      </c>
      <c r="BB16">
        <v>10</v>
      </c>
      <c r="BC16">
        <v>10</v>
      </c>
      <c r="BD16">
        <v>10</v>
      </c>
      <c r="BE16">
        <v>10</v>
      </c>
      <c r="BF16">
        <v>10</v>
      </c>
      <c r="BG16">
        <v>1</v>
      </c>
      <c r="BH16" t="s">
        <v>123</v>
      </c>
      <c r="BI16" t="s">
        <v>124</v>
      </c>
      <c r="BJ16" t="b">
        <v>1</v>
      </c>
      <c r="BK16">
        <v>1</v>
      </c>
      <c r="BL16">
        <v>1</v>
      </c>
      <c r="BM16">
        <v>14744.43</v>
      </c>
      <c r="BS16">
        <v>14744.43</v>
      </c>
      <c r="BW16" t="s">
        <v>120</v>
      </c>
      <c r="BZ16">
        <v>14744.43</v>
      </c>
      <c r="CA16">
        <v>1000</v>
      </c>
      <c r="CB16">
        <v>980331064.58999991</v>
      </c>
      <c r="CC16">
        <v>6179333.3999999994</v>
      </c>
      <c r="CD16" t="s">
        <v>128</v>
      </c>
      <c r="CE16" t="s">
        <v>128</v>
      </c>
      <c r="CF16" t="s">
        <v>128</v>
      </c>
      <c r="CH16">
        <v>14744.43</v>
      </c>
      <c r="CI16">
        <v>14744.43</v>
      </c>
      <c r="CJ16">
        <v>0</v>
      </c>
      <c r="CK16">
        <v>0</v>
      </c>
      <c r="CO16">
        <v>10</v>
      </c>
      <c r="CP16">
        <v>20</v>
      </c>
      <c r="CQ16">
        <v>100000003</v>
      </c>
      <c r="CR16" t="s">
        <v>132</v>
      </c>
    </row>
    <row r="17" spans="1:96" x14ac:dyDescent="0.25">
      <c r="A17" t="s">
        <v>95</v>
      </c>
      <c r="B17">
        <v>12</v>
      </c>
      <c r="C17">
        <v>100000001</v>
      </c>
      <c r="D17">
        <v>3</v>
      </c>
      <c r="E17">
        <v>3</v>
      </c>
      <c r="F17" t="s">
        <v>96</v>
      </c>
      <c r="G17" t="s">
        <v>130</v>
      </c>
      <c r="H17">
        <v>15</v>
      </c>
      <c r="I17">
        <v>163186</v>
      </c>
      <c r="J17">
        <v>94186207</v>
      </c>
      <c r="K17" t="s">
        <v>98</v>
      </c>
      <c r="L17">
        <v>1</v>
      </c>
      <c r="M17" s="3" t="s">
        <v>99</v>
      </c>
      <c r="N17">
        <v>1</v>
      </c>
      <c r="O17">
        <v>2</v>
      </c>
      <c r="P17">
        <v>5</v>
      </c>
      <c r="Q17">
        <v>0</v>
      </c>
      <c r="R17">
        <v>5</v>
      </c>
      <c r="S17" t="s">
        <v>100</v>
      </c>
      <c r="T17" t="s">
        <v>101</v>
      </c>
      <c r="U17">
        <v>325892398</v>
      </c>
      <c r="V17" t="s">
        <v>109</v>
      </c>
      <c r="W17" t="s">
        <v>111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96</v>
      </c>
      <c r="AD17" t="s">
        <v>96</v>
      </c>
      <c r="AE17" t="s">
        <v>113</v>
      </c>
      <c r="AF17" t="b">
        <v>0</v>
      </c>
      <c r="AG17" t="s">
        <v>96</v>
      </c>
      <c r="AH17" t="s">
        <v>112</v>
      </c>
      <c r="AI17" t="s">
        <v>114</v>
      </c>
      <c r="AK17">
        <v>1</v>
      </c>
      <c r="AL17">
        <v>0.25</v>
      </c>
      <c r="AM17" t="s">
        <v>116</v>
      </c>
      <c r="AN17" t="s">
        <v>117</v>
      </c>
      <c r="AO17" t="s">
        <v>118</v>
      </c>
      <c r="AP17" s="5">
        <v>1</v>
      </c>
      <c r="AR17" t="s">
        <v>120</v>
      </c>
      <c r="AS17" t="s">
        <v>120</v>
      </c>
      <c r="AU17" t="str">
        <f t="shared" si="2"/>
        <v>USD</v>
      </c>
      <c r="AV17" t="s">
        <v>120</v>
      </c>
      <c r="AW17" t="s">
        <v>120</v>
      </c>
      <c r="AX17" t="s">
        <v>121</v>
      </c>
      <c r="AY17">
        <v>10</v>
      </c>
      <c r="AZ17">
        <v>20</v>
      </c>
      <c r="BA17">
        <v>20</v>
      </c>
      <c r="BB17">
        <v>10</v>
      </c>
      <c r="BC17">
        <v>10</v>
      </c>
      <c r="BD17">
        <v>10</v>
      </c>
      <c r="BE17">
        <v>10</v>
      </c>
      <c r="BF17">
        <v>10</v>
      </c>
      <c r="BG17">
        <v>1</v>
      </c>
      <c r="BH17" t="s">
        <v>123</v>
      </c>
      <c r="BI17" t="s">
        <v>124</v>
      </c>
      <c r="BJ17" t="b">
        <v>1</v>
      </c>
      <c r="BK17">
        <v>1</v>
      </c>
      <c r="BL17">
        <v>1</v>
      </c>
      <c r="BN17">
        <v>324680.8</v>
      </c>
      <c r="BO17">
        <v>324680.8</v>
      </c>
      <c r="BP17">
        <v>324680.8</v>
      </c>
      <c r="BQ17">
        <v>324680.8</v>
      </c>
      <c r="BR17">
        <v>324680.8</v>
      </c>
      <c r="BT17">
        <v>324680.8</v>
      </c>
      <c r="BU17">
        <v>324680.8</v>
      </c>
      <c r="BV17">
        <v>324680.8</v>
      </c>
      <c r="BX17" t="s">
        <v>120</v>
      </c>
      <c r="BY17">
        <v>324680.8</v>
      </c>
      <c r="CA17">
        <v>7000</v>
      </c>
      <c r="CB17">
        <v>980331064.58999991</v>
      </c>
      <c r="CC17">
        <v>6179333.3999999994</v>
      </c>
      <c r="CD17" t="s">
        <v>128</v>
      </c>
      <c r="CE17" t="s">
        <v>128</v>
      </c>
      <c r="CF17" t="s">
        <v>128</v>
      </c>
      <c r="CH17">
        <v>324680.8</v>
      </c>
      <c r="CI17">
        <v>324680.8</v>
      </c>
      <c r="CJ17">
        <v>0</v>
      </c>
      <c r="CK17">
        <v>0</v>
      </c>
      <c r="CO17">
        <v>10</v>
      </c>
      <c r="CP17">
        <v>20</v>
      </c>
      <c r="CQ17">
        <v>100000003</v>
      </c>
      <c r="CR17" t="s">
        <v>132</v>
      </c>
    </row>
    <row r="18" spans="1:96" x14ac:dyDescent="0.25">
      <c r="A18" t="s">
        <v>95</v>
      </c>
      <c r="B18">
        <v>12</v>
      </c>
      <c r="C18">
        <v>100000001</v>
      </c>
      <c r="D18">
        <v>3</v>
      </c>
      <c r="E18">
        <v>3</v>
      </c>
      <c r="F18" t="s">
        <v>96</v>
      </c>
      <c r="G18" t="s">
        <v>130</v>
      </c>
      <c r="H18">
        <v>15</v>
      </c>
      <c r="I18">
        <v>163186</v>
      </c>
      <c r="J18">
        <v>87452013</v>
      </c>
      <c r="K18" t="s">
        <v>98</v>
      </c>
      <c r="L18">
        <v>1</v>
      </c>
      <c r="M18" s="3" t="s">
        <v>99</v>
      </c>
      <c r="N18">
        <v>1</v>
      </c>
      <c r="O18">
        <v>2</v>
      </c>
      <c r="P18">
        <v>5</v>
      </c>
      <c r="Q18">
        <v>0</v>
      </c>
      <c r="R18">
        <v>5</v>
      </c>
      <c r="S18" t="s">
        <v>100</v>
      </c>
      <c r="T18" t="s">
        <v>101</v>
      </c>
      <c r="U18" t="s">
        <v>105</v>
      </c>
      <c r="V18" t="s">
        <v>110</v>
      </c>
      <c r="W18" t="s">
        <v>111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96</v>
      </c>
      <c r="AD18" t="s">
        <v>96</v>
      </c>
      <c r="AE18" t="s">
        <v>113</v>
      </c>
      <c r="AF18" t="b">
        <v>0</v>
      </c>
      <c r="AG18" t="s">
        <v>96</v>
      </c>
      <c r="AH18" t="s">
        <v>112</v>
      </c>
      <c r="AI18" t="s">
        <v>114</v>
      </c>
      <c r="AK18">
        <v>1</v>
      </c>
      <c r="AL18">
        <v>0.15</v>
      </c>
      <c r="AM18" t="s">
        <v>116</v>
      </c>
      <c r="AN18" t="s">
        <v>117</v>
      </c>
      <c r="AO18" t="s">
        <v>118</v>
      </c>
      <c r="AP18" s="5">
        <v>1</v>
      </c>
      <c r="AR18" t="s">
        <v>120</v>
      </c>
      <c r="AS18" t="s">
        <v>120</v>
      </c>
      <c r="AU18" t="str">
        <f t="shared" si="2"/>
        <v>USD</v>
      </c>
      <c r="AV18" t="s">
        <v>120</v>
      </c>
      <c r="AW18" t="s">
        <v>120</v>
      </c>
      <c r="AX18" t="s">
        <v>121</v>
      </c>
      <c r="AY18">
        <v>10</v>
      </c>
      <c r="AZ18">
        <v>20</v>
      </c>
      <c r="BA18">
        <v>20</v>
      </c>
      <c r="BB18">
        <v>10</v>
      </c>
      <c r="BC18">
        <v>10</v>
      </c>
      <c r="BD18">
        <v>10</v>
      </c>
      <c r="BE18">
        <v>10</v>
      </c>
      <c r="BF18">
        <v>10</v>
      </c>
      <c r="BG18">
        <v>1</v>
      </c>
      <c r="BH18" t="s">
        <v>123</v>
      </c>
      <c r="BI18" t="s">
        <v>124</v>
      </c>
      <c r="BJ18" t="b">
        <v>1</v>
      </c>
      <c r="BK18">
        <v>1</v>
      </c>
      <c r="BL18">
        <v>1</v>
      </c>
      <c r="BN18">
        <v>4850034.55</v>
      </c>
      <c r="BO18">
        <v>4850034.55</v>
      </c>
      <c r="BP18">
        <v>4850034.55</v>
      </c>
      <c r="BQ18">
        <v>4850034.55</v>
      </c>
      <c r="BR18">
        <v>4850034.55</v>
      </c>
      <c r="BT18">
        <v>4850034.55</v>
      </c>
      <c r="BU18">
        <v>4850034.55</v>
      </c>
      <c r="BV18">
        <v>4850034.55</v>
      </c>
      <c r="BX18" t="s">
        <v>120</v>
      </c>
      <c r="BY18">
        <v>4850034.55</v>
      </c>
      <c r="CA18">
        <v>20000</v>
      </c>
      <c r="CB18">
        <v>980331064.58999991</v>
      </c>
      <c r="CC18">
        <v>6179333.3999999994</v>
      </c>
      <c r="CD18" t="s">
        <v>128</v>
      </c>
      <c r="CE18" t="s">
        <v>128</v>
      </c>
      <c r="CF18" t="s">
        <v>128</v>
      </c>
      <c r="CH18">
        <v>4850034.55</v>
      </c>
      <c r="CI18">
        <v>4850034.55</v>
      </c>
      <c r="CJ18">
        <v>0</v>
      </c>
      <c r="CK18">
        <v>0</v>
      </c>
      <c r="CO18">
        <v>10</v>
      </c>
      <c r="CP18">
        <v>20</v>
      </c>
      <c r="CQ18">
        <v>100000003</v>
      </c>
      <c r="CR18" t="s">
        <v>132</v>
      </c>
    </row>
    <row r="19" spans="1:96" x14ac:dyDescent="0.25">
      <c r="A19" t="s">
        <v>95</v>
      </c>
      <c r="B19">
        <v>12</v>
      </c>
      <c r="C19">
        <v>100000001</v>
      </c>
      <c r="D19">
        <v>3</v>
      </c>
      <c r="E19">
        <v>3</v>
      </c>
      <c r="F19" t="s">
        <v>96</v>
      </c>
      <c r="G19" t="s">
        <v>130</v>
      </c>
      <c r="H19">
        <v>1</v>
      </c>
      <c r="I19">
        <v>163186</v>
      </c>
      <c r="J19">
        <v>31860794</v>
      </c>
      <c r="K19" t="s">
        <v>98</v>
      </c>
      <c r="L19">
        <v>1</v>
      </c>
      <c r="M19" s="3" t="s">
        <v>99</v>
      </c>
      <c r="N19">
        <v>1</v>
      </c>
      <c r="O19">
        <v>2</v>
      </c>
      <c r="P19">
        <v>0</v>
      </c>
      <c r="Q19">
        <v>0</v>
      </c>
      <c r="R19">
        <v>0</v>
      </c>
      <c r="T19" t="s">
        <v>101</v>
      </c>
      <c r="W19" t="s">
        <v>111</v>
      </c>
      <c r="X19" t="s">
        <v>112</v>
      </c>
      <c r="Y19" t="s">
        <v>96</v>
      </c>
      <c r="Z19" t="s">
        <v>112</v>
      </c>
      <c r="AA19" t="s">
        <v>112</v>
      </c>
      <c r="AB19" t="s">
        <v>112</v>
      </c>
      <c r="AC19" t="s">
        <v>96</v>
      </c>
      <c r="AD19" t="s">
        <v>96</v>
      </c>
      <c r="AE19" t="s">
        <v>113</v>
      </c>
      <c r="AF19" t="b">
        <v>0</v>
      </c>
      <c r="AG19" t="s">
        <v>112</v>
      </c>
      <c r="AH19" t="s">
        <v>112</v>
      </c>
      <c r="AI19" t="s">
        <v>114</v>
      </c>
      <c r="AK19">
        <v>1</v>
      </c>
      <c r="AL19">
        <v>1</v>
      </c>
      <c r="AM19" t="s">
        <v>125</v>
      </c>
      <c r="AN19" t="s">
        <v>126</v>
      </c>
      <c r="AO19" t="s">
        <v>118</v>
      </c>
      <c r="AP19" s="5">
        <v>1</v>
      </c>
      <c r="AT19" t="s">
        <v>120</v>
      </c>
      <c r="AU19" t="str">
        <f>IF(OR(AS19="",AS19="null"),AW19,AS19)</f>
        <v>USD</v>
      </c>
      <c r="AV19" t="s">
        <v>120</v>
      </c>
      <c r="AW19" t="s">
        <v>120</v>
      </c>
      <c r="AX19" t="s">
        <v>121</v>
      </c>
      <c r="AY19">
        <v>10</v>
      </c>
      <c r="AZ19">
        <v>20</v>
      </c>
      <c r="BA19">
        <v>20</v>
      </c>
      <c r="BB19">
        <v>10</v>
      </c>
      <c r="BC19">
        <v>10</v>
      </c>
      <c r="BD19">
        <v>10</v>
      </c>
      <c r="BE19">
        <v>10</v>
      </c>
      <c r="BF19">
        <v>10</v>
      </c>
      <c r="BG19">
        <v>1</v>
      </c>
      <c r="BH19" t="s">
        <v>123</v>
      </c>
      <c r="BI19" t="s">
        <v>124</v>
      </c>
      <c r="BJ19" t="b">
        <v>1</v>
      </c>
      <c r="BK19">
        <v>0</v>
      </c>
      <c r="BL19">
        <v>0</v>
      </c>
      <c r="BM19">
        <v>980316320.15999997</v>
      </c>
      <c r="BW19" t="s">
        <v>120</v>
      </c>
      <c r="BX19" t="s">
        <v>120</v>
      </c>
      <c r="BZ19">
        <v>980316320.15999997</v>
      </c>
      <c r="CB19">
        <v>980331064.58999991</v>
      </c>
      <c r="CC19">
        <v>6179333.3999999994</v>
      </c>
      <c r="CD19" t="s">
        <v>128</v>
      </c>
      <c r="CE19" t="s">
        <v>128</v>
      </c>
      <c r="CF19" t="s">
        <v>128</v>
      </c>
      <c r="CG19">
        <v>980316320.15999997</v>
      </c>
      <c r="CJ19">
        <v>5389982896.1491499</v>
      </c>
      <c r="CK19">
        <v>4224774121.1984601</v>
      </c>
      <c r="CL19">
        <v>5389982896.1491499</v>
      </c>
      <c r="CM19">
        <v>110363201.93069001</v>
      </c>
      <c r="CN19">
        <v>110363201.93069001</v>
      </c>
      <c r="CO19">
        <v>0</v>
      </c>
      <c r="CP19">
        <v>0</v>
      </c>
      <c r="CQ19">
        <v>100000003</v>
      </c>
      <c r="CR19" t="s">
        <v>132</v>
      </c>
    </row>
    <row r="20" spans="1:96" x14ac:dyDescent="0.25">
      <c r="A20" t="s">
        <v>95</v>
      </c>
      <c r="B20">
        <v>12</v>
      </c>
      <c r="C20">
        <v>100000001</v>
      </c>
      <c r="D20">
        <v>4</v>
      </c>
      <c r="E20">
        <v>4</v>
      </c>
      <c r="F20" t="s">
        <v>96</v>
      </c>
      <c r="G20" t="s">
        <v>130</v>
      </c>
      <c r="H20">
        <v>15</v>
      </c>
      <c r="I20">
        <v>163186</v>
      </c>
      <c r="J20">
        <v>20517368</v>
      </c>
      <c r="K20" t="s">
        <v>98</v>
      </c>
      <c r="L20">
        <v>1</v>
      </c>
      <c r="M20" s="3" t="s">
        <v>99</v>
      </c>
      <c r="N20">
        <v>1</v>
      </c>
      <c r="O20">
        <v>2</v>
      </c>
      <c r="P20">
        <v>5</v>
      </c>
      <c r="Q20">
        <v>0</v>
      </c>
      <c r="R20">
        <v>5</v>
      </c>
      <c r="S20" t="s">
        <v>100</v>
      </c>
      <c r="T20" t="s">
        <v>101</v>
      </c>
      <c r="U20" t="s">
        <v>103</v>
      </c>
      <c r="V20" t="s">
        <v>106</v>
      </c>
      <c r="W20" t="s">
        <v>111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96</v>
      </c>
      <c r="AD20" t="s">
        <v>96</v>
      </c>
      <c r="AE20" t="s">
        <v>113</v>
      </c>
      <c r="AF20" t="b">
        <v>0</v>
      </c>
      <c r="AG20" t="s">
        <v>96</v>
      </c>
      <c r="AH20" t="s">
        <v>112</v>
      </c>
      <c r="AI20" t="s">
        <v>114</v>
      </c>
      <c r="AK20">
        <v>1</v>
      </c>
      <c r="AL20">
        <v>0.15</v>
      </c>
      <c r="AM20" t="s">
        <v>116</v>
      </c>
      <c r="AN20" t="s">
        <v>117</v>
      </c>
      <c r="AO20" t="s">
        <v>118</v>
      </c>
      <c r="AP20" s="5">
        <v>1</v>
      </c>
      <c r="AR20" t="s">
        <v>119</v>
      </c>
      <c r="AS20" t="s">
        <v>119</v>
      </c>
      <c r="AU20" t="str">
        <f>IF(OR(AS20="",AS20="null"),AW20,AS20)</f>
        <v>EUR</v>
      </c>
      <c r="AV20" t="s">
        <v>120</v>
      </c>
      <c r="AW20" t="s">
        <v>120</v>
      </c>
      <c r="AX20" t="s">
        <v>121</v>
      </c>
      <c r="AY20">
        <v>10</v>
      </c>
      <c r="AZ20">
        <v>20</v>
      </c>
      <c r="BA20">
        <v>20</v>
      </c>
      <c r="BB20">
        <v>10</v>
      </c>
      <c r="BC20">
        <v>10</v>
      </c>
      <c r="BD20">
        <v>10</v>
      </c>
      <c r="BE20">
        <v>10</v>
      </c>
      <c r="BF20">
        <v>10</v>
      </c>
      <c r="BG20">
        <v>1</v>
      </c>
      <c r="BH20" t="s">
        <v>123</v>
      </c>
      <c r="BI20" t="s">
        <v>124</v>
      </c>
      <c r="BJ20" t="b">
        <v>1</v>
      </c>
      <c r="BK20">
        <v>1</v>
      </c>
      <c r="BL20">
        <v>1</v>
      </c>
      <c r="BN20">
        <v>891186.97</v>
      </c>
      <c r="BO20">
        <v>891186.97</v>
      </c>
      <c r="BP20">
        <v>891186.97</v>
      </c>
      <c r="BQ20">
        <v>891186.97</v>
      </c>
      <c r="BR20">
        <v>891186.97</v>
      </c>
      <c r="BT20">
        <v>891186.97</v>
      </c>
      <c r="BU20">
        <v>891186.97</v>
      </c>
      <c r="BV20">
        <v>891186.97</v>
      </c>
      <c r="BX20" t="s">
        <v>119</v>
      </c>
      <c r="BY20">
        <v>891186.97</v>
      </c>
      <c r="CA20">
        <v>18000</v>
      </c>
      <c r="CB20">
        <v>980331064.58999991</v>
      </c>
      <c r="CC20">
        <v>6179333.3999999994</v>
      </c>
      <c r="CD20" t="s">
        <v>128</v>
      </c>
      <c r="CE20" t="s">
        <v>128</v>
      </c>
      <c r="CF20" t="s">
        <v>128</v>
      </c>
      <c r="CH20">
        <v>891186.97</v>
      </c>
      <c r="CI20">
        <v>891186.97</v>
      </c>
      <c r="CJ20">
        <v>0</v>
      </c>
      <c r="CK20">
        <v>0</v>
      </c>
      <c r="CO20">
        <v>10</v>
      </c>
      <c r="CP20">
        <v>20</v>
      </c>
      <c r="CQ20">
        <v>100000004</v>
      </c>
      <c r="CR20" t="s">
        <v>133</v>
      </c>
    </row>
    <row r="21" spans="1:96" x14ac:dyDescent="0.25">
      <c r="A21" t="s">
        <v>95</v>
      </c>
      <c r="B21">
        <v>12</v>
      </c>
      <c r="C21">
        <v>100000001</v>
      </c>
      <c r="D21">
        <v>4</v>
      </c>
      <c r="E21">
        <v>4</v>
      </c>
      <c r="F21" t="s">
        <v>96</v>
      </c>
      <c r="G21" t="s">
        <v>130</v>
      </c>
      <c r="H21">
        <v>15</v>
      </c>
      <c r="I21">
        <v>163186</v>
      </c>
      <c r="J21">
        <v>78630251</v>
      </c>
      <c r="K21" t="s">
        <v>98</v>
      </c>
      <c r="L21">
        <v>1</v>
      </c>
      <c r="M21" s="3" t="s">
        <v>99</v>
      </c>
      <c r="N21">
        <v>1</v>
      </c>
      <c r="O21">
        <v>2</v>
      </c>
      <c r="P21">
        <v>5</v>
      </c>
      <c r="Q21">
        <v>0</v>
      </c>
      <c r="R21">
        <v>5</v>
      </c>
      <c r="S21" t="s">
        <v>100</v>
      </c>
      <c r="T21" t="s">
        <v>101</v>
      </c>
      <c r="U21" t="s">
        <v>104</v>
      </c>
      <c r="V21" t="s">
        <v>107</v>
      </c>
      <c r="W21" t="s">
        <v>111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96</v>
      </c>
      <c r="AD21" t="s">
        <v>96</v>
      </c>
      <c r="AE21" t="s">
        <v>113</v>
      </c>
      <c r="AF21" t="b">
        <v>0</v>
      </c>
      <c r="AG21" t="s">
        <v>96</v>
      </c>
      <c r="AH21" t="s">
        <v>112</v>
      </c>
      <c r="AI21" t="s">
        <v>114</v>
      </c>
      <c r="AK21">
        <v>1</v>
      </c>
      <c r="AL21">
        <v>0.25</v>
      </c>
      <c r="AM21" t="s">
        <v>116</v>
      </c>
      <c r="AN21" t="s">
        <v>117</v>
      </c>
      <c r="AO21" t="s">
        <v>118</v>
      </c>
      <c r="AP21" s="5">
        <v>1</v>
      </c>
      <c r="AR21" t="s">
        <v>120</v>
      </c>
      <c r="AS21" t="s">
        <v>120</v>
      </c>
      <c r="AU21" t="str">
        <f t="shared" ref="AU21:AU24" si="3">IF(OR(AS21="",AS21="null"),AW21,AS21)</f>
        <v>USD</v>
      </c>
      <c r="AV21" t="s">
        <v>120</v>
      </c>
      <c r="AW21" t="s">
        <v>120</v>
      </c>
      <c r="AX21" t="s">
        <v>121</v>
      </c>
      <c r="AY21">
        <v>10</v>
      </c>
      <c r="AZ21">
        <v>20</v>
      </c>
      <c r="BA21">
        <v>20</v>
      </c>
      <c r="BB21">
        <v>10</v>
      </c>
      <c r="BC21">
        <v>10</v>
      </c>
      <c r="BD21">
        <v>10</v>
      </c>
      <c r="BE21">
        <v>10</v>
      </c>
      <c r="BF21">
        <v>10</v>
      </c>
      <c r="BG21">
        <v>1</v>
      </c>
      <c r="BH21" t="s">
        <v>123</v>
      </c>
      <c r="BI21" t="s">
        <v>124</v>
      </c>
      <c r="BJ21" t="b">
        <v>1</v>
      </c>
      <c r="BK21">
        <v>1</v>
      </c>
      <c r="BL21">
        <v>1</v>
      </c>
      <c r="BN21">
        <v>113431.08</v>
      </c>
      <c r="BO21">
        <v>113431.08</v>
      </c>
      <c r="BP21">
        <v>113431.08</v>
      </c>
      <c r="BQ21">
        <v>113431.08</v>
      </c>
      <c r="BR21">
        <v>113431.08</v>
      </c>
      <c r="BT21">
        <v>113431.08</v>
      </c>
      <c r="BU21">
        <v>113431.08</v>
      </c>
      <c r="BV21">
        <v>113431.08</v>
      </c>
      <c r="BX21" t="s">
        <v>120</v>
      </c>
      <c r="BY21">
        <v>113431.08</v>
      </c>
      <c r="CA21">
        <v>8000</v>
      </c>
      <c r="CB21">
        <v>980331064.58999991</v>
      </c>
      <c r="CC21">
        <v>6179333.3999999994</v>
      </c>
      <c r="CD21" t="s">
        <v>128</v>
      </c>
      <c r="CE21" t="s">
        <v>128</v>
      </c>
      <c r="CF21" t="s">
        <v>128</v>
      </c>
      <c r="CH21">
        <v>113431.08</v>
      </c>
      <c r="CI21">
        <v>113431.08</v>
      </c>
      <c r="CJ21">
        <v>0</v>
      </c>
      <c r="CK21">
        <v>0</v>
      </c>
      <c r="CO21">
        <v>10</v>
      </c>
      <c r="CP21">
        <v>20</v>
      </c>
      <c r="CQ21">
        <v>100000004</v>
      </c>
      <c r="CR21" t="s">
        <v>133</v>
      </c>
    </row>
    <row r="22" spans="1:96" x14ac:dyDescent="0.25">
      <c r="A22" t="s">
        <v>95</v>
      </c>
      <c r="B22">
        <v>12</v>
      </c>
      <c r="C22">
        <v>100000001</v>
      </c>
      <c r="D22">
        <v>4</v>
      </c>
      <c r="E22">
        <v>4</v>
      </c>
      <c r="F22" t="s">
        <v>96</v>
      </c>
      <c r="G22" t="s">
        <v>130</v>
      </c>
      <c r="H22">
        <v>15</v>
      </c>
      <c r="I22">
        <v>163186</v>
      </c>
      <c r="J22">
        <v>45918723</v>
      </c>
      <c r="K22" t="s">
        <v>98</v>
      </c>
      <c r="L22">
        <v>1</v>
      </c>
      <c r="M22" s="3" t="s">
        <v>99</v>
      </c>
      <c r="N22">
        <v>1</v>
      </c>
      <c r="O22">
        <v>2</v>
      </c>
      <c r="P22">
        <v>5</v>
      </c>
      <c r="Q22">
        <v>0</v>
      </c>
      <c r="R22">
        <v>5</v>
      </c>
      <c r="S22" t="s">
        <v>100</v>
      </c>
      <c r="T22" t="s">
        <v>101</v>
      </c>
      <c r="U22">
        <v>294382048</v>
      </c>
      <c r="V22" t="s">
        <v>108</v>
      </c>
      <c r="W22" t="s">
        <v>111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96</v>
      </c>
      <c r="AD22" t="s">
        <v>96</v>
      </c>
      <c r="AE22" t="s">
        <v>113</v>
      </c>
      <c r="AF22" t="b">
        <v>0</v>
      </c>
      <c r="AG22" t="s">
        <v>96</v>
      </c>
      <c r="AH22" t="s">
        <v>112</v>
      </c>
      <c r="AI22" t="s">
        <v>114</v>
      </c>
      <c r="AJ22" t="s">
        <v>115</v>
      </c>
      <c r="AK22">
        <v>1</v>
      </c>
      <c r="AL22">
        <v>0.25</v>
      </c>
      <c r="AM22" t="s">
        <v>116</v>
      </c>
      <c r="AN22" t="s">
        <v>117</v>
      </c>
      <c r="AO22" t="s">
        <v>118</v>
      </c>
      <c r="AP22" s="5">
        <v>1</v>
      </c>
      <c r="AR22" t="s">
        <v>120</v>
      </c>
      <c r="AS22" t="s">
        <v>120</v>
      </c>
      <c r="AU22" t="str">
        <f t="shared" si="3"/>
        <v>USD</v>
      </c>
      <c r="AV22" t="s">
        <v>120</v>
      </c>
      <c r="AW22" t="s">
        <v>120</v>
      </c>
      <c r="AX22" t="s">
        <v>122</v>
      </c>
      <c r="AY22">
        <v>10</v>
      </c>
      <c r="AZ22">
        <v>20</v>
      </c>
      <c r="BA22">
        <v>20</v>
      </c>
      <c r="BB22">
        <v>10</v>
      </c>
      <c r="BC22">
        <v>10</v>
      </c>
      <c r="BD22">
        <v>10</v>
      </c>
      <c r="BE22">
        <v>10</v>
      </c>
      <c r="BF22">
        <v>10</v>
      </c>
      <c r="BG22">
        <v>1</v>
      </c>
      <c r="BH22" t="s">
        <v>123</v>
      </c>
      <c r="BI22" t="s">
        <v>124</v>
      </c>
      <c r="BJ22" t="b">
        <v>1</v>
      </c>
      <c r="BK22">
        <v>1</v>
      </c>
      <c r="BL22">
        <v>1</v>
      </c>
      <c r="BM22">
        <v>14744.43</v>
      </c>
      <c r="BS22">
        <v>14744.43</v>
      </c>
      <c r="BW22" t="s">
        <v>120</v>
      </c>
      <c r="BZ22">
        <v>14744.43</v>
      </c>
      <c r="CA22">
        <v>1000</v>
      </c>
      <c r="CB22">
        <v>980331064.58999991</v>
      </c>
      <c r="CC22">
        <v>6179333.3999999994</v>
      </c>
      <c r="CD22" t="s">
        <v>128</v>
      </c>
      <c r="CE22" t="s">
        <v>128</v>
      </c>
      <c r="CF22" t="s">
        <v>128</v>
      </c>
      <c r="CH22">
        <v>14744.43</v>
      </c>
      <c r="CI22">
        <v>14744.43</v>
      </c>
      <c r="CJ22">
        <v>0</v>
      </c>
      <c r="CK22">
        <v>0</v>
      </c>
      <c r="CO22">
        <v>10</v>
      </c>
      <c r="CP22">
        <v>20</v>
      </c>
      <c r="CQ22">
        <v>100000004</v>
      </c>
      <c r="CR22" t="s">
        <v>133</v>
      </c>
    </row>
    <row r="23" spans="1:96" x14ac:dyDescent="0.25">
      <c r="A23" t="s">
        <v>95</v>
      </c>
      <c r="B23">
        <v>12</v>
      </c>
      <c r="C23">
        <v>100000001</v>
      </c>
      <c r="D23">
        <v>4</v>
      </c>
      <c r="E23">
        <v>4</v>
      </c>
      <c r="F23" t="s">
        <v>96</v>
      </c>
      <c r="G23" t="s">
        <v>130</v>
      </c>
      <c r="H23">
        <v>15</v>
      </c>
      <c r="I23">
        <v>163186</v>
      </c>
      <c r="J23">
        <v>12749685</v>
      </c>
      <c r="K23" t="s">
        <v>98</v>
      </c>
      <c r="L23">
        <v>1</v>
      </c>
      <c r="M23" s="3" t="s">
        <v>99</v>
      </c>
      <c r="N23">
        <v>1</v>
      </c>
      <c r="O23">
        <v>2</v>
      </c>
      <c r="P23">
        <v>5</v>
      </c>
      <c r="Q23">
        <v>0</v>
      </c>
      <c r="R23">
        <v>5</v>
      </c>
      <c r="S23" t="s">
        <v>100</v>
      </c>
      <c r="T23" t="s">
        <v>101</v>
      </c>
      <c r="U23">
        <v>325892398</v>
      </c>
      <c r="V23" t="s">
        <v>109</v>
      </c>
      <c r="W23" t="s">
        <v>111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96</v>
      </c>
      <c r="AD23" t="s">
        <v>96</v>
      </c>
      <c r="AE23" t="s">
        <v>113</v>
      </c>
      <c r="AF23" t="b">
        <v>0</v>
      </c>
      <c r="AG23" t="s">
        <v>96</v>
      </c>
      <c r="AH23" t="s">
        <v>112</v>
      </c>
      <c r="AI23" t="s">
        <v>114</v>
      </c>
      <c r="AK23">
        <v>1</v>
      </c>
      <c r="AL23">
        <v>0.25</v>
      </c>
      <c r="AM23" t="s">
        <v>116</v>
      </c>
      <c r="AN23" t="s">
        <v>117</v>
      </c>
      <c r="AO23" t="s">
        <v>118</v>
      </c>
      <c r="AP23" s="5">
        <v>1</v>
      </c>
      <c r="AR23" t="s">
        <v>120</v>
      </c>
      <c r="AS23" t="s">
        <v>120</v>
      </c>
      <c r="AU23" t="str">
        <f t="shared" si="3"/>
        <v>USD</v>
      </c>
      <c r="AV23" t="s">
        <v>120</v>
      </c>
      <c r="AW23" t="s">
        <v>120</v>
      </c>
      <c r="AX23" t="s">
        <v>121</v>
      </c>
      <c r="AY23">
        <v>10</v>
      </c>
      <c r="AZ23">
        <v>20</v>
      </c>
      <c r="BA23">
        <v>20</v>
      </c>
      <c r="BB23">
        <v>10</v>
      </c>
      <c r="BC23">
        <v>10</v>
      </c>
      <c r="BD23">
        <v>10</v>
      </c>
      <c r="BE23">
        <v>10</v>
      </c>
      <c r="BF23">
        <v>10</v>
      </c>
      <c r="BG23">
        <v>1</v>
      </c>
      <c r="BH23" t="s">
        <v>123</v>
      </c>
      <c r="BI23" t="s">
        <v>124</v>
      </c>
      <c r="BJ23" t="b">
        <v>1</v>
      </c>
      <c r="BK23">
        <v>1</v>
      </c>
      <c r="BL23">
        <v>1</v>
      </c>
      <c r="BN23">
        <v>324680.8</v>
      </c>
      <c r="BO23">
        <v>324680.8</v>
      </c>
      <c r="BP23">
        <v>324680.8</v>
      </c>
      <c r="BQ23">
        <v>324680.8</v>
      </c>
      <c r="BR23">
        <v>324680.8</v>
      </c>
      <c r="BT23">
        <v>324680.8</v>
      </c>
      <c r="BU23">
        <v>324680.8</v>
      </c>
      <c r="BV23">
        <v>324680.8</v>
      </c>
      <c r="BX23" t="s">
        <v>120</v>
      </c>
      <c r="BY23">
        <v>324680.8</v>
      </c>
      <c r="CA23">
        <v>7000</v>
      </c>
      <c r="CB23">
        <v>980331064.58999991</v>
      </c>
      <c r="CC23">
        <v>6179333.3999999994</v>
      </c>
      <c r="CD23" t="s">
        <v>128</v>
      </c>
      <c r="CE23" t="s">
        <v>128</v>
      </c>
      <c r="CF23" t="s">
        <v>128</v>
      </c>
      <c r="CH23">
        <v>324680.8</v>
      </c>
      <c r="CI23">
        <v>324680.8</v>
      </c>
      <c r="CJ23">
        <v>0</v>
      </c>
      <c r="CK23">
        <v>0</v>
      </c>
      <c r="CO23">
        <v>10</v>
      </c>
      <c r="CP23">
        <v>20</v>
      </c>
      <c r="CQ23">
        <v>100000004</v>
      </c>
      <c r="CR23" t="s">
        <v>133</v>
      </c>
    </row>
    <row r="24" spans="1:96" x14ac:dyDescent="0.25">
      <c r="A24" t="s">
        <v>95</v>
      </c>
      <c r="B24">
        <v>12</v>
      </c>
      <c r="C24">
        <v>100000001</v>
      </c>
      <c r="D24">
        <v>4</v>
      </c>
      <c r="E24">
        <v>4</v>
      </c>
      <c r="F24" t="s">
        <v>96</v>
      </c>
      <c r="G24" t="s">
        <v>130</v>
      </c>
      <c r="H24">
        <v>15</v>
      </c>
      <c r="I24">
        <v>163186</v>
      </c>
      <c r="J24">
        <v>98026341</v>
      </c>
      <c r="K24" t="s">
        <v>98</v>
      </c>
      <c r="L24">
        <v>1</v>
      </c>
      <c r="M24" s="3" t="s">
        <v>99</v>
      </c>
      <c r="N24">
        <v>1</v>
      </c>
      <c r="O24">
        <v>2</v>
      </c>
      <c r="P24">
        <v>5</v>
      </c>
      <c r="Q24">
        <v>0</v>
      </c>
      <c r="R24">
        <v>5</v>
      </c>
      <c r="S24" t="s">
        <v>100</v>
      </c>
      <c r="T24" t="s">
        <v>101</v>
      </c>
      <c r="U24" t="s">
        <v>105</v>
      </c>
      <c r="V24" t="s">
        <v>110</v>
      </c>
      <c r="W24" t="s">
        <v>111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96</v>
      </c>
      <c r="AD24" t="s">
        <v>96</v>
      </c>
      <c r="AE24" t="s">
        <v>113</v>
      </c>
      <c r="AF24" t="b">
        <v>0</v>
      </c>
      <c r="AG24" t="s">
        <v>96</v>
      </c>
      <c r="AH24" t="s">
        <v>112</v>
      </c>
      <c r="AI24" t="s">
        <v>114</v>
      </c>
      <c r="AK24">
        <v>1</v>
      </c>
      <c r="AL24">
        <v>0.15</v>
      </c>
      <c r="AM24" t="s">
        <v>116</v>
      </c>
      <c r="AN24" t="s">
        <v>117</v>
      </c>
      <c r="AO24" t="s">
        <v>118</v>
      </c>
      <c r="AP24" s="5">
        <v>1</v>
      </c>
      <c r="AR24" t="s">
        <v>120</v>
      </c>
      <c r="AS24" t="s">
        <v>120</v>
      </c>
      <c r="AU24" t="str">
        <f t="shared" si="3"/>
        <v>USD</v>
      </c>
      <c r="AV24" t="s">
        <v>120</v>
      </c>
      <c r="AW24" t="s">
        <v>120</v>
      </c>
      <c r="AX24" t="s">
        <v>121</v>
      </c>
      <c r="AY24">
        <v>10</v>
      </c>
      <c r="AZ24">
        <v>20</v>
      </c>
      <c r="BA24">
        <v>20</v>
      </c>
      <c r="BB24">
        <v>10</v>
      </c>
      <c r="BC24">
        <v>10</v>
      </c>
      <c r="BD24">
        <v>10</v>
      </c>
      <c r="BE24">
        <v>10</v>
      </c>
      <c r="BF24">
        <v>10</v>
      </c>
      <c r="BG24">
        <v>1</v>
      </c>
      <c r="BH24" t="s">
        <v>123</v>
      </c>
      <c r="BI24" t="s">
        <v>124</v>
      </c>
      <c r="BJ24" t="b">
        <v>1</v>
      </c>
      <c r="BK24">
        <v>1</v>
      </c>
      <c r="BL24">
        <v>1</v>
      </c>
      <c r="BN24">
        <v>4850034.55</v>
      </c>
      <c r="BO24">
        <v>4850034.55</v>
      </c>
      <c r="BP24">
        <v>4850034.55</v>
      </c>
      <c r="BQ24">
        <v>4850034.55</v>
      </c>
      <c r="BR24">
        <v>4850034.55</v>
      </c>
      <c r="BT24">
        <v>4850034.55</v>
      </c>
      <c r="BU24">
        <v>4850034.55</v>
      </c>
      <c r="BV24">
        <v>4850034.55</v>
      </c>
      <c r="BX24" t="s">
        <v>120</v>
      </c>
      <c r="BY24">
        <v>4850034.55</v>
      </c>
      <c r="CA24">
        <v>20000</v>
      </c>
      <c r="CB24">
        <v>980331064.58999991</v>
      </c>
      <c r="CC24">
        <v>6179333.3999999994</v>
      </c>
      <c r="CD24" t="s">
        <v>128</v>
      </c>
      <c r="CE24" t="s">
        <v>128</v>
      </c>
      <c r="CF24" t="s">
        <v>128</v>
      </c>
      <c r="CH24">
        <v>4850034.55</v>
      </c>
      <c r="CI24">
        <v>4850034.55</v>
      </c>
      <c r="CJ24">
        <v>0</v>
      </c>
      <c r="CK24">
        <v>0</v>
      </c>
      <c r="CO24">
        <v>10</v>
      </c>
      <c r="CP24">
        <v>20</v>
      </c>
      <c r="CQ24">
        <v>100000004</v>
      </c>
      <c r="CR24" t="s">
        <v>133</v>
      </c>
    </row>
    <row r="25" spans="1:96" x14ac:dyDescent="0.25">
      <c r="A25" t="s">
        <v>95</v>
      </c>
      <c r="B25">
        <v>12</v>
      </c>
      <c r="C25">
        <v>100000001</v>
      </c>
      <c r="D25">
        <v>5</v>
      </c>
      <c r="E25">
        <v>5</v>
      </c>
      <c r="F25" t="s">
        <v>96</v>
      </c>
      <c r="G25" t="s">
        <v>130</v>
      </c>
      <c r="H25">
        <v>1</v>
      </c>
      <c r="I25">
        <v>163186</v>
      </c>
      <c r="J25">
        <v>34185972</v>
      </c>
      <c r="K25" t="s">
        <v>98</v>
      </c>
      <c r="L25">
        <v>1</v>
      </c>
      <c r="M25" s="3" t="s">
        <v>99</v>
      </c>
      <c r="N25">
        <v>1</v>
      </c>
      <c r="O25">
        <v>2</v>
      </c>
      <c r="P25">
        <v>0</v>
      </c>
      <c r="Q25">
        <v>0</v>
      </c>
      <c r="R25">
        <v>0</v>
      </c>
      <c r="T25" t="s">
        <v>101</v>
      </c>
      <c r="W25" t="s">
        <v>111</v>
      </c>
      <c r="X25" t="s">
        <v>112</v>
      </c>
      <c r="Y25" t="s">
        <v>96</v>
      </c>
      <c r="Z25" t="s">
        <v>112</v>
      </c>
      <c r="AA25" t="s">
        <v>112</v>
      </c>
      <c r="AB25" t="s">
        <v>112</v>
      </c>
      <c r="AC25" t="s">
        <v>96</v>
      </c>
      <c r="AD25" t="s">
        <v>96</v>
      </c>
      <c r="AE25" t="s">
        <v>113</v>
      </c>
      <c r="AF25" t="b">
        <v>0</v>
      </c>
      <c r="AG25" t="s">
        <v>112</v>
      </c>
      <c r="AH25" t="s">
        <v>112</v>
      </c>
      <c r="AI25" t="s">
        <v>114</v>
      </c>
      <c r="AK25">
        <v>1</v>
      </c>
      <c r="AL25">
        <v>1</v>
      </c>
      <c r="AM25" t="s">
        <v>125</v>
      </c>
      <c r="AN25" t="s">
        <v>126</v>
      </c>
      <c r="AO25" t="s">
        <v>118</v>
      </c>
      <c r="AP25" s="5">
        <v>1</v>
      </c>
      <c r="AT25" t="s">
        <v>120</v>
      </c>
      <c r="AU25" t="str">
        <f>IF(OR(AS25="",AS25="null"),AW25,AS25)</f>
        <v>USD</v>
      </c>
      <c r="AV25" t="s">
        <v>120</v>
      </c>
      <c r="AW25" t="s">
        <v>120</v>
      </c>
      <c r="AX25" t="s">
        <v>121</v>
      </c>
      <c r="AY25">
        <v>10</v>
      </c>
      <c r="AZ25">
        <v>20</v>
      </c>
      <c r="BA25">
        <v>20</v>
      </c>
      <c r="BB25">
        <v>10</v>
      </c>
      <c r="BC25">
        <v>10</v>
      </c>
      <c r="BD25">
        <v>10</v>
      </c>
      <c r="BE25">
        <v>10</v>
      </c>
      <c r="BF25">
        <v>10</v>
      </c>
      <c r="BG25">
        <v>1</v>
      </c>
      <c r="BH25" t="s">
        <v>123</v>
      </c>
      <c r="BI25" t="s">
        <v>124</v>
      </c>
      <c r="BJ25" t="b">
        <v>1</v>
      </c>
      <c r="BK25">
        <v>0</v>
      </c>
      <c r="BL25">
        <v>0</v>
      </c>
      <c r="BM25">
        <v>980316320.15999997</v>
      </c>
      <c r="BW25" t="s">
        <v>120</v>
      </c>
      <c r="BX25" t="s">
        <v>120</v>
      </c>
      <c r="BZ25">
        <v>980316320.15999997</v>
      </c>
      <c r="CB25">
        <v>980331064.58999991</v>
      </c>
      <c r="CC25">
        <v>6179333.3999999994</v>
      </c>
      <c r="CD25" t="s">
        <v>128</v>
      </c>
      <c r="CE25" t="s">
        <v>128</v>
      </c>
      <c r="CF25" t="s">
        <v>128</v>
      </c>
      <c r="CG25">
        <v>980316320.15999997</v>
      </c>
      <c r="CJ25">
        <v>5389982896.1491499</v>
      </c>
      <c r="CK25">
        <v>4224774121.1984601</v>
      </c>
      <c r="CL25">
        <v>5389982896.1491499</v>
      </c>
      <c r="CM25">
        <v>110363201.93069001</v>
      </c>
      <c r="CN25">
        <v>110363201.93069001</v>
      </c>
      <c r="CO25">
        <v>0</v>
      </c>
      <c r="CP25">
        <v>0</v>
      </c>
      <c r="CQ25">
        <v>100000005</v>
      </c>
      <c r="CR25" t="s">
        <v>134</v>
      </c>
    </row>
    <row r="26" spans="1:96" x14ac:dyDescent="0.25">
      <c r="A26" t="s">
        <v>95</v>
      </c>
      <c r="B26">
        <v>12</v>
      </c>
      <c r="C26">
        <v>100000001</v>
      </c>
      <c r="D26">
        <v>5</v>
      </c>
      <c r="E26">
        <v>5</v>
      </c>
      <c r="F26" t="s">
        <v>96</v>
      </c>
      <c r="G26" t="s">
        <v>130</v>
      </c>
      <c r="H26">
        <v>15</v>
      </c>
      <c r="I26">
        <v>163186</v>
      </c>
      <c r="J26">
        <v>65720439</v>
      </c>
      <c r="K26" t="s">
        <v>98</v>
      </c>
      <c r="L26">
        <v>1</v>
      </c>
      <c r="M26" s="3" t="s">
        <v>99</v>
      </c>
      <c r="N26">
        <v>1</v>
      </c>
      <c r="O26">
        <v>2</v>
      </c>
      <c r="P26">
        <v>5</v>
      </c>
      <c r="Q26">
        <v>0</v>
      </c>
      <c r="R26">
        <v>5</v>
      </c>
      <c r="S26" t="s">
        <v>100</v>
      </c>
      <c r="T26" t="s">
        <v>101</v>
      </c>
      <c r="U26" t="s">
        <v>103</v>
      </c>
      <c r="V26" t="s">
        <v>106</v>
      </c>
      <c r="W26" t="s">
        <v>111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96</v>
      </c>
      <c r="AD26" t="s">
        <v>96</v>
      </c>
      <c r="AE26" t="s">
        <v>113</v>
      </c>
      <c r="AF26" t="b">
        <v>0</v>
      </c>
      <c r="AG26" t="s">
        <v>96</v>
      </c>
      <c r="AH26" t="s">
        <v>112</v>
      </c>
      <c r="AI26" t="s">
        <v>114</v>
      </c>
      <c r="AK26">
        <v>1</v>
      </c>
      <c r="AL26">
        <v>0.15</v>
      </c>
      <c r="AM26" t="s">
        <v>116</v>
      </c>
      <c r="AN26" t="s">
        <v>117</v>
      </c>
      <c r="AO26" t="s">
        <v>118</v>
      </c>
      <c r="AP26" s="5">
        <v>1</v>
      </c>
      <c r="AR26" t="s">
        <v>119</v>
      </c>
      <c r="AS26" t="s">
        <v>119</v>
      </c>
      <c r="AU26" t="str">
        <f>IF(OR(AS26="",AS26="null"),AW26,AS26)</f>
        <v>EUR</v>
      </c>
      <c r="AV26" t="s">
        <v>120</v>
      </c>
      <c r="AW26" t="s">
        <v>120</v>
      </c>
      <c r="AX26" t="s">
        <v>121</v>
      </c>
      <c r="AY26">
        <v>10</v>
      </c>
      <c r="AZ26">
        <v>20</v>
      </c>
      <c r="BA26">
        <v>20</v>
      </c>
      <c r="BB26">
        <v>10</v>
      </c>
      <c r="BC26">
        <v>10</v>
      </c>
      <c r="BD26">
        <v>10</v>
      </c>
      <c r="BE26">
        <v>10</v>
      </c>
      <c r="BF26">
        <v>10</v>
      </c>
      <c r="BG26">
        <v>1</v>
      </c>
      <c r="BH26" t="s">
        <v>123</v>
      </c>
      <c r="BI26" t="s">
        <v>124</v>
      </c>
      <c r="BJ26" t="b">
        <v>1</v>
      </c>
      <c r="BK26">
        <v>1</v>
      </c>
      <c r="BL26">
        <v>1</v>
      </c>
      <c r="BN26">
        <v>891186.97</v>
      </c>
      <c r="BO26">
        <v>891186.97</v>
      </c>
      <c r="BP26">
        <v>891186.97</v>
      </c>
      <c r="BQ26">
        <v>891186.97</v>
      </c>
      <c r="BR26">
        <v>891186.97</v>
      </c>
      <c r="BT26">
        <v>891186.97</v>
      </c>
      <c r="BU26">
        <v>891186.97</v>
      </c>
      <c r="BV26">
        <v>891186.97</v>
      </c>
      <c r="BX26" t="s">
        <v>119</v>
      </c>
      <c r="BY26">
        <v>891186.97</v>
      </c>
      <c r="CA26">
        <v>18000</v>
      </c>
      <c r="CB26">
        <v>980331064.58999991</v>
      </c>
      <c r="CC26">
        <v>6179333.3999999994</v>
      </c>
      <c r="CD26" t="s">
        <v>128</v>
      </c>
      <c r="CE26" t="s">
        <v>128</v>
      </c>
      <c r="CF26" t="s">
        <v>128</v>
      </c>
      <c r="CH26">
        <v>891186.97</v>
      </c>
      <c r="CI26">
        <v>891186.97</v>
      </c>
      <c r="CJ26">
        <v>0</v>
      </c>
      <c r="CK26">
        <v>0</v>
      </c>
      <c r="CO26">
        <v>10</v>
      </c>
      <c r="CP26">
        <v>20</v>
      </c>
      <c r="CQ26">
        <v>100000005</v>
      </c>
      <c r="CR26" t="s">
        <v>134</v>
      </c>
    </row>
    <row r="27" spans="1:96" x14ac:dyDescent="0.25">
      <c r="A27" t="s">
        <v>95</v>
      </c>
      <c r="B27">
        <v>12</v>
      </c>
      <c r="C27">
        <v>100000001</v>
      </c>
      <c r="D27">
        <v>5</v>
      </c>
      <c r="E27">
        <v>5</v>
      </c>
      <c r="F27" t="s">
        <v>96</v>
      </c>
      <c r="G27" t="s">
        <v>130</v>
      </c>
      <c r="H27">
        <v>15</v>
      </c>
      <c r="I27">
        <v>163186</v>
      </c>
      <c r="J27">
        <v>81293764</v>
      </c>
      <c r="K27" t="s">
        <v>98</v>
      </c>
      <c r="L27">
        <v>1</v>
      </c>
      <c r="M27" s="3" t="s">
        <v>99</v>
      </c>
      <c r="N27">
        <v>1</v>
      </c>
      <c r="O27">
        <v>2</v>
      </c>
      <c r="P27">
        <v>5</v>
      </c>
      <c r="Q27">
        <v>0</v>
      </c>
      <c r="R27">
        <v>5</v>
      </c>
      <c r="S27" t="s">
        <v>100</v>
      </c>
      <c r="T27" t="s">
        <v>101</v>
      </c>
      <c r="U27" t="s">
        <v>104</v>
      </c>
      <c r="V27" t="s">
        <v>107</v>
      </c>
      <c r="W27" t="s">
        <v>111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96</v>
      </c>
      <c r="AD27" t="s">
        <v>96</v>
      </c>
      <c r="AE27" t="s">
        <v>113</v>
      </c>
      <c r="AF27" t="b">
        <v>0</v>
      </c>
      <c r="AG27" t="s">
        <v>96</v>
      </c>
      <c r="AH27" t="s">
        <v>112</v>
      </c>
      <c r="AI27" t="s">
        <v>114</v>
      </c>
      <c r="AK27">
        <v>1</v>
      </c>
      <c r="AL27">
        <v>0.25</v>
      </c>
      <c r="AM27" t="s">
        <v>116</v>
      </c>
      <c r="AN27" t="s">
        <v>117</v>
      </c>
      <c r="AO27" t="s">
        <v>118</v>
      </c>
      <c r="AP27" s="5">
        <v>1</v>
      </c>
      <c r="AR27" t="s">
        <v>120</v>
      </c>
      <c r="AS27" t="s">
        <v>120</v>
      </c>
      <c r="AU27" t="str">
        <f t="shared" ref="AU27:AU30" si="4">IF(OR(AS27="",AS27="null"),AW27,AS27)</f>
        <v>USD</v>
      </c>
      <c r="AV27" t="s">
        <v>120</v>
      </c>
      <c r="AW27" t="s">
        <v>120</v>
      </c>
      <c r="AX27" t="s">
        <v>121</v>
      </c>
      <c r="AY27">
        <v>10</v>
      </c>
      <c r="AZ27">
        <v>20</v>
      </c>
      <c r="BA27">
        <v>20</v>
      </c>
      <c r="BB27">
        <v>10</v>
      </c>
      <c r="BC27">
        <v>10</v>
      </c>
      <c r="BD27">
        <v>10</v>
      </c>
      <c r="BE27">
        <v>10</v>
      </c>
      <c r="BF27">
        <v>10</v>
      </c>
      <c r="BG27">
        <v>1</v>
      </c>
      <c r="BH27" t="s">
        <v>123</v>
      </c>
      <c r="BI27" t="s">
        <v>124</v>
      </c>
      <c r="BJ27" t="b">
        <v>1</v>
      </c>
      <c r="BK27">
        <v>1</v>
      </c>
      <c r="BL27">
        <v>1</v>
      </c>
      <c r="BN27">
        <v>113431.08</v>
      </c>
      <c r="BO27">
        <v>113431.08</v>
      </c>
      <c r="BP27">
        <v>113431.08</v>
      </c>
      <c r="BQ27">
        <v>113431.08</v>
      </c>
      <c r="BR27">
        <v>113431.08</v>
      </c>
      <c r="BT27">
        <v>113431.08</v>
      </c>
      <c r="BU27">
        <v>113431.08</v>
      </c>
      <c r="BV27">
        <v>113431.08</v>
      </c>
      <c r="BX27" t="s">
        <v>120</v>
      </c>
      <c r="BY27">
        <v>113431.08</v>
      </c>
      <c r="CA27">
        <v>8000</v>
      </c>
      <c r="CB27">
        <v>980331064.58999991</v>
      </c>
      <c r="CC27">
        <v>6179333.3999999994</v>
      </c>
      <c r="CD27" t="s">
        <v>128</v>
      </c>
      <c r="CE27" t="s">
        <v>128</v>
      </c>
      <c r="CF27" t="s">
        <v>128</v>
      </c>
      <c r="CH27">
        <v>113431.08</v>
      </c>
      <c r="CI27">
        <v>113431.08</v>
      </c>
      <c r="CJ27">
        <v>0</v>
      </c>
      <c r="CK27">
        <v>0</v>
      </c>
      <c r="CO27">
        <v>10</v>
      </c>
      <c r="CP27">
        <v>20</v>
      </c>
      <c r="CQ27">
        <v>100000005</v>
      </c>
      <c r="CR27" t="s">
        <v>134</v>
      </c>
    </row>
    <row r="28" spans="1:96" x14ac:dyDescent="0.25">
      <c r="A28" t="s">
        <v>95</v>
      </c>
      <c r="B28">
        <v>12</v>
      </c>
      <c r="C28">
        <v>100000001</v>
      </c>
      <c r="D28">
        <v>5</v>
      </c>
      <c r="E28">
        <v>5</v>
      </c>
      <c r="F28" t="s">
        <v>96</v>
      </c>
      <c r="G28" t="s">
        <v>130</v>
      </c>
      <c r="H28">
        <v>15</v>
      </c>
      <c r="I28">
        <v>163186</v>
      </c>
      <c r="J28">
        <v>47862501</v>
      </c>
      <c r="K28" t="s">
        <v>98</v>
      </c>
      <c r="L28">
        <v>1</v>
      </c>
      <c r="M28" s="3" t="s">
        <v>99</v>
      </c>
      <c r="N28">
        <v>1</v>
      </c>
      <c r="O28">
        <v>2</v>
      </c>
      <c r="P28">
        <v>5</v>
      </c>
      <c r="Q28">
        <v>0</v>
      </c>
      <c r="R28">
        <v>5</v>
      </c>
      <c r="S28" t="s">
        <v>100</v>
      </c>
      <c r="T28" t="s">
        <v>101</v>
      </c>
      <c r="U28">
        <v>294382048</v>
      </c>
      <c r="V28" t="s">
        <v>108</v>
      </c>
      <c r="W28" t="s">
        <v>111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96</v>
      </c>
      <c r="AD28" t="s">
        <v>96</v>
      </c>
      <c r="AE28" t="s">
        <v>113</v>
      </c>
      <c r="AF28" t="b">
        <v>0</v>
      </c>
      <c r="AG28" t="s">
        <v>96</v>
      </c>
      <c r="AH28" t="s">
        <v>112</v>
      </c>
      <c r="AI28" t="s">
        <v>114</v>
      </c>
      <c r="AJ28" t="s">
        <v>115</v>
      </c>
      <c r="AK28">
        <v>1</v>
      </c>
      <c r="AL28">
        <v>0.25</v>
      </c>
      <c r="AM28" t="s">
        <v>116</v>
      </c>
      <c r="AN28" t="s">
        <v>117</v>
      </c>
      <c r="AO28" t="s">
        <v>118</v>
      </c>
      <c r="AP28" s="5">
        <v>1</v>
      </c>
      <c r="AR28" t="s">
        <v>120</v>
      </c>
      <c r="AS28" t="s">
        <v>120</v>
      </c>
      <c r="AU28" t="str">
        <f t="shared" si="4"/>
        <v>USD</v>
      </c>
      <c r="AV28" t="s">
        <v>120</v>
      </c>
      <c r="AW28" t="s">
        <v>120</v>
      </c>
      <c r="AX28" t="s">
        <v>122</v>
      </c>
      <c r="AY28">
        <v>10</v>
      </c>
      <c r="AZ28">
        <v>20</v>
      </c>
      <c r="BA28">
        <v>20</v>
      </c>
      <c r="BB28">
        <v>10</v>
      </c>
      <c r="BC28">
        <v>10</v>
      </c>
      <c r="BD28">
        <v>10</v>
      </c>
      <c r="BE28">
        <v>10</v>
      </c>
      <c r="BF28">
        <v>10</v>
      </c>
      <c r="BG28">
        <v>1</v>
      </c>
      <c r="BH28" t="s">
        <v>123</v>
      </c>
      <c r="BI28" t="s">
        <v>124</v>
      </c>
      <c r="BJ28" t="b">
        <v>1</v>
      </c>
      <c r="BK28">
        <v>1</v>
      </c>
      <c r="BL28">
        <v>1</v>
      </c>
      <c r="BM28">
        <v>14744.43</v>
      </c>
      <c r="BS28">
        <v>14744.43</v>
      </c>
      <c r="BW28" t="s">
        <v>120</v>
      </c>
      <c r="BZ28">
        <v>14744.43</v>
      </c>
      <c r="CA28">
        <v>1000</v>
      </c>
      <c r="CB28">
        <v>980331064.58999991</v>
      </c>
      <c r="CC28">
        <v>6179333.3999999994</v>
      </c>
      <c r="CD28" t="s">
        <v>128</v>
      </c>
      <c r="CE28" t="s">
        <v>128</v>
      </c>
      <c r="CF28" t="s">
        <v>128</v>
      </c>
      <c r="CH28">
        <v>14744.43</v>
      </c>
      <c r="CI28">
        <v>14744.43</v>
      </c>
      <c r="CJ28">
        <v>0</v>
      </c>
      <c r="CK28">
        <v>0</v>
      </c>
      <c r="CO28">
        <v>10</v>
      </c>
      <c r="CP28">
        <v>20</v>
      </c>
      <c r="CQ28">
        <v>100000005</v>
      </c>
      <c r="CR28" t="s">
        <v>134</v>
      </c>
    </row>
    <row r="29" spans="1:96" x14ac:dyDescent="0.25">
      <c r="A29" t="s">
        <v>95</v>
      </c>
      <c r="B29">
        <v>12</v>
      </c>
      <c r="C29">
        <v>100000001</v>
      </c>
      <c r="D29">
        <v>5</v>
      </c>
      <c r="E29">
        <v>5</v>
      </c>
      <c r="F29" t="s">
        <v>96</v>
      </c>
      <c r="G29" t="s">
        <v>130</v>
      </c>
      <c r="H29">
        <v>15</v>
      </c>
      <c r="I29">
        <v>163186</v>
      </c>
      <c r="J29">
        <v>39684175</v>
      </c>
      <c r="K29" t="s">
        <v>98</v>
      </c>
      <c r="L29">
        <v>1</v>
      </c>
      <c r="M29" s="3" t="s">
        <v>99</v>
      </c>
      <c r="N29">
        <v>1</v>
      </c>
      <c r="O29">
        <v>2</v>
      </c>
      <c r="P29">
        <v>5</v>
      </c>
      <c r="Q29">
        <v>0</v>
      </c>
      <c r="R29">
        <v>5</v>
      </c>
      <c r="S29" t="s">
        <v>100</v>
      </c>
      <c r="T29" t="s">
        <v>101</v>
      </c>
      <c r="U29">
        <v>325892398</v>
      </c>
      <c r="V29" t="s">
        <v>109</v>
      </c>
      <c r="W29" t="s">
        <v>111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96</v>
      </c>
      <c r="AD29" t="s">
        <v>96</v>
      </c>
      <c r="AE29" t="s">
        <v>113</v>
      </c>
      <c r="AF29" t="b">
        <v>0</v>
      </c>
      <c r="AG29" t="s">
        <v>96</v>
      </c>
      <c r="AH29" t="s">
        <v>112</v>
      </c>
      <c r="AI29" t="s">
        <v>114</v>
      </c>
      <c r="AK29">
        <v>1</v>
      </c>
      <c r="AL29">
        <v>0.25</v>
      </c>
      <c r="AM29" t="s">
        <v>116</v>
      </c>
      <c r="AN29" t="s">
        <v>117</v>
      </c>
      <c r="AO29" t="s">
        <v>118</v>
      </c>
      <c r="AP29" s="5">
        <v>1</v>
      </c>
      <c r="AR29" t="s">
        <v>120</v>
      </c>
      <c r="AS29" t="s">
        <v>120</v>
      </c>
      <c r="AU29" t="str">
        <f t="shared" si="4"/>
        <v>USD</v>
      </c>
      <c r="AV29" t="s">
        <v>120</v>
      </c>
      <c r="AW29" t="s">
        <v>120</v>
      </c>
      <c r="AX29" t="s">
        <v>121</v>
      </c>
      <c r="AY29">
        <v>10</v>
      </c>
      <c r="AZ29">
        <v>20</v>
      </c>
      <c r="BA29">
        <v>20</v>
      </c>
      <c r="BB29">
        <v>10</v>
      </c>
      <c r="BC29">
        <v>10</v>
      </c>
      <c r="BD29">
        <v>10</v>
      </c>
      <c r="BE29">
        <v>10</v>
      </c>
      <c r="BF29">
        <v>10</v>
      </c>
      <c r="BG29">
        <v>1</v>
      </c>
      <c r="BH29" t="s">
        <v>123</v>
      </c>
      <c r="BI29" t="s">
        <v>124</v>
      </c>
      <c r="BJ29" t="b">
        <v>1</v>
      </c>
      <c r="BK29">
        <v>1</v>
      </c>
      <c r="BL29">
        <v>1</v>
      </c>
      <c r="BN29">
        <v>324680.8</v>
      </c>
      <c r="BO29">
        <v>324680.8</v>
      </c>
      <c r="BP29">
        <v>324680.8</v>
      </c>
      <c r="BQ29">
        <v>324680.8</v>
      </c>
      <c r="BR29">
        <v>324680.8</v>
      </c>
      <c r="BT29">
        <v>324680.8</v>
      </c>
      <c r="BU29">
        <v>324680.8</v>
      </c>
      <c r="BV29">
        <v>324680.8</v>
      </c>
      <c r="BX29" t="s">
        <v>120</v>
      </c>
      <c r="BY29">
        <v>324680.8</v>
      </c>
      <c r="CA29">
        <v>7000</v>
      </c>
      <c r="CB29">
        <v>980331064.58999991</v>
      </c>
      <c r="CC29">
        <v>6179333.3999999994</v>
      </c>
      <c r="CD29" t="s">
        <v>128</v>
      </c>
      <c r="CE29" t="s">
        <v>128</v>
      </c>
      <c r="CF29" t="s">
        <v>128</v>
      </c>
      <c r="CH29">
        <v>324680.8</v>
      </c>
      <c r="CI29">
        <v>324680.8</v>
      </c>
      <c r="CJ29">
        <v>0</v>
      </c>
      <c r="CK29">
        <v>0</v>
      </c>
      <c r="CO29">
        <v>10</v>
      </c>
      <c r="CP29">
        <v>20</v>
      </c>
      <c r="CQ29">
        <v>100000005</v>
      </c>
      <c r="CR29" t="s">
        <v>134</v>
      </c>
    </row>
    <row r="30" spans="1:96" x14ac:dyDescent="0.25">
      <c r="A30" t="s">
        <v>95</v>
      </c>
      <c r="B30">
        <v>12</v>
      </c>
      <c r="C30">
        <v>100000001</v>
      </c>
      <c r="D30">
        <v>5</v>
      </c>
      <c r="E30">
        <v>5</v>
      </c>
      <c r="F30" t="s">
        <v>96</v>
      </c>
      <c r="G30" t="s">
        <v>130</v>
      </c>
      <c r="H30">
        <v>15</v>
      </c>
      <c r="I30">
        <v>163186</v>
      </c>
      <c r="J30">
        <v>52319084</v>
      </c>
      <c r="K30" t="s">
        <v>98</v>
      </c>
      <c r="L30">
        <v>1</v>
      </c>
      <c r="M30" s="3" t="s">
        <v>99</v>
      </c>
      <c r="N30">
        <v>1</v>
      </c>
      <c r="O30">
        <v>2</v>
      </c>
      <c r="P30">
        <v>5</v>
      </c>
      <c r="Q30">
        <v>0</v>
      </c>
      <c r="R30">
        <v>5</v>
      </c>
      <c r="S30" t="s">
        <v>100</v>
      </c>
      <c r="T30" t="s">
        <v>101</v>
      </c>
      <c r="U30" t="s">
        <v>105</v>
      </c>
      <c r="V30" t="s">
        <v>110</v>
      </c>
      <c r="W30" t="s">
        <v>111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96</v>
      </c>
      <c r="AD30" t="s">
        <v>96</v>
      </c>
      <c r="AE30" t="s">
        <v>113</v>
      </c>
      <c r="AF30" t="b">
        <v>0</v>
      </c>
      <c r="AG30" t="s">
        <v>96</v>
      </c>
      <c r="AH30" t="s">
        <v>112</v>
      </c>
      <c r="AI30" t="s">
        <v>114</v>
      </c>
      <c r="AK30">
        <v>1</v>
      </c>
      <c r="AL30">
        <v>0.15</v>
      </c>
      <c r="AM30" t="s">
        <v>116</v>
      </c>
      <c r="AN30" t="s">
        <v>117</v>
      </c>
      <c r="AO30" t="s">
        <v>118</v>
      </c>
      <c r="AP30" s="5">
        <v>1</v>
      </c>
      <c r="AR30" t="s">
        <v>120</v>
      </c>
      <c r="AS30" t="s">
        <v>120</v>
      </c>
      <c r="AU30" t="str">
        <f t="shared" si="4"/>
        <v>USD</v>
      </c>
      <c r="AV30" t="s">
        <v>120</v>
      </c>
      <c r="AW30" t="s">
        <v>120</v>
      </c>
      <c r="AX30" t="s">
        <v>121</v>
      </c>
      <c r="AY30">
        <v>10</v>
      </c>
      <c r="AZ30">
        <v>20</v>
      </c>
      <c r="BA30">
        <v>20</v>
      </c>
      <c r="BB30">
        <v>10</v>
      </c>
      <c r="BC30">
        <v>10</v>
      </c>
      <c r="BD30">
        <v>10</v>
      </c>
      <c r="BE30">
        <v>10</v>
      </c>
      <c r="BF30">
        <v>10</v>
      </c>
      <c r="BG30">
        <v>1</v>
      </c>
      <c r="BH30" t="s">
        <v>123</v>
      </c>
      <c r="BI30" t="s">
        <v>124</v>
      </c>
      <c r="BJ30" t="b">
        <v>1</v>
      </c>
      <c r="BK30">
        <v>1</v>
      </c>
      <c r="BL30">
        <v>1</v>
      </c>
      <c r="BN30">
        <v>4850034.55</v>
      </c>
      <c r="BO30">
        <v>4850034.55</v>
      </c>
      <c r="BP30">
        <v>4850034.55</v>
      </c>
      <c r="BQ30">
        <v>4850034.55</v>
      </c>
      <c r="BR30">
        <v>4850034.55</v>
      </c>
      <c r="BT30">
        <v>4850034.55</v>
      </c>
      <c r="BU30">
        <v>4850034.55</v>
      </c>
      <c r="BV30">
        <v>4850034.55</v>
      </c>
      <c r="BX30" t="s">
        <v>120</v>
      </c>
      <c r="BY30">
        <v>4850034.55</v>
      </c>
      <c r="CA30">
        <v>20000</v>
      </c>
      <c r="CB30">
        <v>980331064.58999991</v>
      </c>
      <c r="CC30">
        <v>6179333.3999999994</v>
      </c>
      <c r="CD30" t="s">
        <v>128</v>
      </c>
      <c r="CE30" t="s">
        <v>128</v>
      </c>
      <c r="CF30" t="s">
        <v>128</v>
      </c>
      <c r="CH30">
        <v>4850034.55</v>
      </c>
      <c r="CI30">
        <v>4850034.55</v>
      </c>
      <c r="CJ30">
        <v>0</v>
      </c>
      <c r="CK30">
        <v>0</v>
      </c>
      <c r="CO30">
        <v>10</v>
      </c>
      <c r="CP30">
        <v>20</v>
      </c>
      <c r="CQ30">
        <v>100000005</v>
      </c>
      <c r="CR30" t="s">
        <v>134</v>
      </c>
    </row>
    <row r="31" spans="1:96" x14ac:dyDescent="0.25">
      <c r="A31" t="s">
        <v>95</v>
      </c>
      <c r="B31">
        <v>12</v>
      </c>
      <c r="C31">
        <v>100000001</v>
      </c>
      <c r="D31">
        <v>5</v>
      </c>
      <c r="E31">
        <v>5</v>
      </c>
      <c r="F31" t="s">
        <v>96</v>
      </c>
      <c r="G31" t="s">
        <v>130</v>
      </c>
      <c r="H31">
        <v>1</v>
      </c>
      <c r="I31">
        <v>163186</v>
      </c>
      <c r="J31">
        <v>76921530</v>
      </c>
      <c r="K31" t="s">
        <v>98</v>
      </c>
      <c r="L31">
        <v>1</v>
      </c>
      <c r="M31" s="3" t="s">
        <v>99</v>
      </c>
      <c r="N31">
        <v>1</v>
      </c>
      <c r="O31">
        <v>2</v>
      </c>
      <c r="P31">
        <v>0</v>
      </c>
      <c r="Q31">
        <v>0</v>
      </c>
      <c r="R31">
        <v>0</v>
      </c>
      <c r="T31" t="s">
        <v>101</v>
      </c>
      <c r="W31" t="s">
        <v>111</v>
      </c>
      <c r="X31" t="s">
        <v>112</v>
      </c>
      <c r="Y31" t="s">
        <v>96</v>
      </c>
      <c r="Z31" t="s">
        <v>112</v>
      </c>
      <c r="AA31" t="s">
        <v>112</v>
      </c>
      <c r="AB31" t="s">
        <v>112</v>
      </c>
      <c r="AC31" t="s">
        <v>96</v>
      </c>
      <c r="AD31" t="s">
        <v>96</v>
      </c>
      <c r="AE31" t="s">
        <v>113</v>
      </c>
      <c r="AF31" t="b">
        <v>0</v>
      </c>
      <c r="AG31" t="s">
        <v>112</v>
      </c>
      <c r="AH31" t="s">
        <v>112</v>
      </c>
      <c r="AI31" t="s">
        <v>114</v>
      </c>
      <c r="AK31">
        <v>1</v>
      </c>
      <c r="AL31">
        <v>1</v>
      </c>
      <c r="AM31" t="s">
        <v>125</v>
      </c>
      <c r="AN31" t="s">
        <v>126</v>
      </c>
      <c r="AO31" t="s">
        <v>118</v>
      </c>
      <c r="AP31" s="5">
        <v>1</v>
      </c>
      <c r="AT31" t="s">
        <v>120</v>
      </c>
      <c r="AU31" t="str">
        <f>IF(OR(AS31="",AS31="null"),AW31,AS31)</f>
        <v>USD</v>
      </c>
      <c r="AV31" t="s">
        <v>120</v>
      </c>
      <c r="AW31" t="s">
        <v>120</v>
      </c>
      <c r="AX31" t="s">
        <v>121</v>
      </c>
      <c r="AY31">
        <v>10</v>
      </c>
      <c r="AZ31">
        <v>20</v>
      </c>
      <c r="BA31">
        <v>20</v>
      </c>
      <c r="BB31">
        <v>10</v>
      </c>
      <c r="BC31">
        <v>10</v>
      </c>
      <c r="BD31">
        <v>10</v>
      </c>
      <c r="BE31">
        <v>10</v>
      </c>
      <c r="BF31">
        <v>10</v>
      </c>
      <c r="BG31">
        <v>1</v>
      </c>
      <c r="BH31" t="s">
        <v>123</v>
      </c>
      <c r="BI31" t="s">
        <v>124</v>
      </c>
      <c r="BJ31" t="b">
        <v>1</v>
      </c>
      <c r="BK31">
        <v>0</v>
      </c>
      <c r="BL31">
        <v>0</v>
      </c>
      <c r="BM31">
        <v>980316320.15999997</v>
      </c>
      <c r="BW31" t="s">
        <v>120</v>
      </c>
      <c r="BX31" t="s">
        <v>120</v>
      </c>
      <c r="BZ31">
        <v>980316320.15999997</v>
      </c>
      <c r="CB31">
        <v>980331064.58999991</v>
      </c>
      <c r="CC31">
        <v>6179333.3999999994</v>
      </c>
      <c r="CD31" t="s">
        <v>128</v>
      </c>
      <c r="CE31" t="s">
        <v>128</v>
      </c>
      <c r="CF31" t="s">
        <v>128</v>
      </c>
      <c r="CG31">
        <v>980316320.15999997</v>
      </c>
      <c r="CJ31">
        <v>5389982896.1491499</v>
      </c>
      <c r="CK31">
        <v>4224774121.1984601</v>
      </c>
      <c r="CL31">
        <v>5389982896.1491499</v>
      </c>
      <c r="CM31">
        <v>110363201.93069001</v>
      </c>
      <c r="CN31">
        <v>110363201.93069001</v>
      </c>
      <c r="CO31">
        <v>0</v>
      </c>
      <c r="CP31">
        <v>0</v>
      </c>
      <c r="CQ31">
        <v>100000005</v>
      </c>
      <c r="CR31" t="s">
        <v>134</v>
      </c>
    </row>
    <row r="32" spans="1:96" x14ac:dyDescent="0.25">
      <c r="J32">
        <v>63057489</v>
      </c>
      <c r="K32" t="s">
        <v>98</v>
      </c>
      <c r="L32">
        <v>1</v>
      </c>
      <c r="M32" s="3" t="s">
        <v>99</v>
      </c>
      <c r="N32">
        <v>1</v>
      </c>
      <c r="O32">
        <v>2</v>
      </c>
    </row>
    <row r="33" spans="10:15" x14ac:dyDescent="0.25">
      <c r="J33">
        <v>15842976</v>
      </c>
      <c r="K33" t="s">
        <v>98</v>
      </c>
      <c r="L33">
        <v>1</v>
      </c>
      <c r="M33" s="3" t="s">
        <v>99</v>
      </c>
      <c r="N33">
        <v>1</v>
      </c>
      <c r="O33">
        <v>2</v>
      </c>
    </row>
    <row r="34" spans="10:15" x14ac:dyDescent="0.25">
      <c r="J34">
        <v>29753014</v>
      </c>
      <c r="K34" t="s">
        <v>98</v>
      </c>
      <c r="L34">
        <v>1</v>
      </c>
      <c r="M34" s="3" t="s">
        <v>99</v>
      </c>
      <c r="N34">
        <v>1</v>
      </c>
      <c r="O34">
        <v>2</v>
      </c>
    </row>
    <row r="35" spans="10:15" x14ac:dyDescent="0.25">
      <c r="J35">
        <v>84579230</v>
      </c>
      <c r="K35" t="s">
        <v>98</v>
      </c>
      <c r="L35">
        <v>1</v>
      </c>
      <c r="M35" s="3" t="s">
        <v>99</v>
      </c>
      <c r="N35">
        <v>1</v>
      </c>
      <c r="O35">
        <v>2</v>
      </c>
    </row>
    <row r="36" spans="10:15" x14ac:dyDescent="0.25">
      <c r="J36">
        <v>90463182</v>
      </c>
      <c r="K36" t="s">
        <v>98</v>
      </c>
      <c r="L36">
        <v>1</v>
      </c>
      <c r="M36" s="3" t="s">
        <v>99</v>
      </c>
      <c r="N36">
        <v>1</v>
      </c>
      <c r="O36">
        <v>2</v>
      </c>
    </row>
    <row r="37" spans="10:15" x14ac:dyDescent="0.25">
      <c r="J37">
        <v>56318047</v>
      </c>
      <c r="K37" t="s">
        <v>98</v>
      </c>
      <c r="L37">
        <v>1</v>
      </c>
      <c r="M37" s="3" t="s">
        <v>99</v>
      </c>
      <c r="N37">
        <v>1</v>
      </c>
      <c r="O37">
        <v>2</v>
      </c>
    </row>
    <row r="38" spans="10:15" x14ac:dyDescent="0.25">
      <c r="J38">
        <v>70964215</v>
      </c>
      <c r="K38" t="s">
        <v>98</v>
      </c>
      <c r="L38">
        <v>1</v>
      </c>
      <c r="M38" s="3" t="s">
        <v>99</v>
      </c>
      <c r="N38">
        <v>1</v>
      </c>
      <c r="O38">
        <v>2</v>
      </c>
    </row>
    <row r="39" spans="10:15" x14ac:dyDescent="0.25">
      <c r="J39">
        <v>87135960</v>
      </c>
      <c r="K39" t="s">
        <v>98</v>
      </c>
      <c r="L39">
        <v>1</v>
      </c>
      <c r="M39" s="3" t="s">
        <v>99</v>
      </c>
      <c r="N39">
        <v>1</v>
      </c>
      <c r="O39">
        <v>2</v>
      </c>
    </row>
    <row r="40" spans="10:15" x14ac:dyDescent="0.25">
      <c r="J40">
        <v>43021897</v>
      </c>
      <c r="K40" t="s">
        <v>98</v>
      </c>
      <c r="L40">
        <v>1</v>
      </c>
      <c r="M40" s="3" t="s">
        <v>99</v>
      </c>
      <c r="N40">
        <v>1</v>
      </c>
      <c r="O40">
        <v>2</v>
      </c>
    </row>
    <row r="41" spans="10:15" x14ac:dyDescent="0.25">
      <c r="J41">
        <v>65247013</v>
      </c>
      <c r="K41" t="s">
        <v>98</v>
      </c>
      <c r="L41">
        <v>1</v>
      </c>
      <c r="M41" s="3" t="s">
        <v>99</v>
      </c>
      <c r="N41">
        <v>1</v>
      </c>
      <c r="O41">
        <v>2</v>
      </c>
    </row>
    <row r="42" spans="10:15" x14ac:dyDescent="0.25">
      <c r="J42">
        <v>21968435</v>
      </c>
      <c r="K42" t="s">
        <v>98</v>
      </c>
      <c r="L42">
        <v>1</v>
      </c>
      <c r="M42" s="3" t="s">
        <v>99</v>
      </c>
      <c r="N42">
        <v>1</v>
      </c>
      <c r="O42">
        <v>2</v>
      </c>
    </row>
    <row r="43" spans="10:15" x14ac:dyDescent="0.25">
      <c r="J43">
        <v>39812764</v>
      </c>
      <c r="K43" t="s">
        <v>98</v>
      </c>
      <c r="L43">
        <v>1</v>
      </c>
      <c r="M43" s="3" t="s">
        <v>99</v>
      </c>
      <c r="N43">
        <v>1</v>
      </c>
      <c r="O43">
        <v>2</v>
      </c>
    </row>
    <row r="44" spans="10:15" x14ac:dyDescent="0.25">
      <c r="J44">
        <v>78590321</v>
      </c>
      <c r="K44" t="s">
        <v>98</v>
      </c>
      <c r="L44">
        <v>1</v>
      </c>
      <c r="M44" s="3" t="s">
        <v>99</v>
      </c>
      <c r="N44">
        <v>1</v>
      </c>
      <c r="O44">
        <v>2</v>
      </c>
    </row>
    <row r="45" spans="10:15" x14ac:dyDescent="0.25">
      <c r="J45">
        <v>50726849</v>
      </c>
      <c r="K45" t="s">
        <v>98</v>
      </c>
      <c r="L45">
        <v>1</v>
      </c>
      <c r="M45" s="3" t="s">
        <v>99</v>
      </c>
      <c r="N45">
        <v>1</v>
      </c>
      <c r="O45">
        <v>2</v>
      </c>
    </row>
    <row r="46" spans="10:15" x14ac:dyDescent="0.25">
      <c r="J46">
        <v>96137025</v>
      </c>
      <c r="K46" t="s">
        <v>98</v>
      </c>
      <c r="L46">
        <v>1</v>
      </c>
      <c r="M46" s="3" t="s">
        <v>99</v>
      </c>
      <c r="N46">
        <v>1</v>
      </c>
      <c r="O46">
        <v>2</v>
      </c>
    </row>
    <row r="47" spans="10:15" x14ac:dyDescent="0.25">
      <c r="J47">
        <v>37265098</v>
      </c>
      <c r="K47" t="s">
        <v>98</v>
      </c>
      <c r="L47">
        <v>1</v>
      </c>
      <c r="M47" s="3" t="s">
        <v>99</v>
      </c>
      <c r="N47">
        <v>1</v>
      </c>
      <c r="O47">
        <v>2</v>
      </c>
    </row>
    <row r="48" spans="10:15" x14ac:dyDescent="0.25">
      <c r="J48">
        <v>18643970</v>
      </c>
      <c r="K48" t="s">
        <v>98</v>
      </c>
      <c r="L48">
        <v>1</v>
      </c>
      <c r="M48" s="3" t="s">
        <v>99</v>
      </c>
      <c r="N48">
        <v>1</v>
      </c>
      <c r="O48">
        <v>2</v>
      </c>
    </row>
    <row r="49" spans="10:15" x14ac:dyDescent="0.25">
      <c r="J49">
        <v>24851963</v>
      </c>
      <c r="K49" t="s">
        <v>98</v>
      </c>
      <c r="L49">
        <v>1</v>
      </c>
      <c r="M49" s="3" t="s">
        <v>99</v>
      </c>
      <c r="N49">
        <v>1</v>
      </c>
      <c r="O49">
        <v>2</v>
      </c>
    </row>
    <row r="50" spans="10:15" x14ac:dyDescent="0.25">
      <c r="J50">
        <v>59073218</v>
      </c>
      <c r="K50" t="s">
        <v>98</v>
      </c>
      <c r="L50">
        <v>1</v>
      </c>
      <c r="M50" s="3" t="s">
        <v>99</v>
      </c>
      <c r="N50">
        <v>1</v>
      </c>
      <c r="O50">
        <v>2</v>
      </c>
    </row>
    <row r="51" spans="10:15" x14ac:dyDescent="0.25">
      <c r="J51">
        <v>82497136</v>
      </c>
      <c r="K51" t="s">
        <v>98</v>
      </c>
      <c r="L51">
        <v>1</v>
      </c>
      <c r="M51" s="3" t="s">
        <v>99</v>
      </c>
      <c r="N51">
        <v>1</v>
      </c>
      <c r="O5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Name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Zinan Liu</dc:creator>
  <cp:lastModifiedBy>Zinan Liu</cp:lastModifiedBy>
  <dcterms:created xsi:type="dcterms:W3CDTF">2025-11-04T13:48:37Z</dcterms:created>
  <dcterms:modified xsi:type="dcterms:W3CDTF">2025-11-05T19:44:40Z</dcterms:modified>
</cp:coreProperties>
</file>