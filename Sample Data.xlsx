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li\RWA Explain\RWA_Projects\"/>
    </mc:Choice>
  </mc:AlternateContent>
  <xr:revisionPtr revIDLastSave="0" documentId="13_ncr:1_{AEB9A45D-38D3-49FC-AD11-71D088B61072}" xr6:coauthVersionLast="47" xr6:coauthVersionMax="47" xr10:uidLastSave="{00000000-0000-0000-0000-000000000000}"/>
  <bookViews>
    <workbookView xWindow="-120" yWindow="-120" windowWidth="29040" windowHeight="15720" activeTab="1" xr2:uid="{C157F968-FDEA-4F33-A112-B4443D6940A8}"/>
  </bookViews>
  <sheets>
    <sheet name="Variable Name" sheetId="1" r:id="rId1"/>
    <sheet name="Data" sheetId="2" r:id="rId2"/>
    <sheet name="Sheet1" sheetId="3" state="hidden" r:id="rId3"/>
  </sheets>
  <definedNames>
    <definedName name="_xlnm._FilterDatabase" localSheetId="1" hidden="1">Data!$B$1:$BT$89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89" i="2" l="1"/>
  <c r="W89" i="2"/>
  <c r="AV88" i="2"/>
  <c r="W88" i="2"/>
  <c r="AV87" i="2"/>
  <c r="W87" i="2"/>
  <c r="AV86" i="2"/>
  <c r="W86" i="2"/>
  <c r="W85" i="2"/>
  <c r="W84" i="2"/>
  <c r="W83" i="2"/>
  <c r="W82" i="2"/>
  <c r="W81" i="2"/>
  <c r="W80" i="2"/>
  <c r="W79" i="2"/>
  <c r="W77" i="2"/>
  <c r="W76" i="2"/>
  <c r="W75" i="2"/>
  <c r="W74" i="2"/>
  <c r="W73" i="2"/>
  <c r="W72" i="2"/>
  <c r="W71" i="2"/>
  <c r="W70" i="2"/>
  <c r="W69" i="2"/>
  <c r="AV68" i="2"/>
  <c r="W68" i="2"/>
  <c r="AV67" i="2"/>
  <c r="W67" i="2"/>
  <c r="AV66" i="2"/>
  <c r="W66" i="2"/>
  <c r="AV65" i="2"/>
  <c r="W65" i="2"/>
  <c r="AV64" i="2"/>
  <c r="W64" i="2"/>
  <c r="AV63" i="2"/>
  <c r="W63" i="2"/>
  <c r="AV62" i="2"/>
  <c r="W62" i="2"/>
  <c r="AV61" i="2"/>
  <c r="W61" i="2"/>
  <c r="AV60" i="2"/>
  <c r="W60" i="2"/>
  <c r="AV59" i="2"/>
  <c r="W59" i="2"/>
  <c r="AV58" i="2"/>
  <c r="W58" i="2"/>
  <c r="AV57" i="2"/>
  <c r="W57" i="2"/>
  <c r="AV56" i="2"/>
  <c r="W56" i="2"/>
  <c r="AV55" i="2"/>
  <c r="W55" i="2"/>
  <c r="AV54" i="2"/>
  <c r="W54" i="2"/>
  <c r="AV53" i="2"/>
  <c r="W53" i="2"/>
  <c r="AV52" i="2"/>
  <c r="W52" i="2"/>
  <c r="AV51" i="2"/>
  <c r="W51" i="2"/>
  <c r="AV50" i="2"/>
  <c r="W50" i="2"/>
  <c r="AV49" i="2"/>
  <c r="W49" i="2"/>
  <c r="AV48" i="2"/>
  <c r="W48" i="2"/>
  <c r="AV47" i="2"/>
  <c r="W47" i="2"/>
  <c r="AV46" i="2"/>
  <c r="W46" i="2"/>
  <c r="AU51" i="3"/>
  <c r="V51" i="3"/>
  <c r="AU50" i="3"/>
  <c r="V50" i="3"/>
  <c r="V49" i="3"/>
  <c r="V48" i="3"/>
  <c r="V47" i="3"/>
  <c r="V46" i="3"/>
  <c r="AU45" i="3"/>
  <c r="V45" i="3"/>
  <c r="AU44" i="3"/>
  <c r="V44" i="3"/>
  <c r="AU43" i="3"/>
  <c r="V43" i="3"/>
  <c r="AU42" i="3"/>
  <c r="V42" i="3"/>
  <c r="V41" i="3"/>
  <c r="V40" i="3"/>
  <c r="V39" i="3"/>
  <c r="V38" i="3"/>
  <c r="V37" i="3"/>
  <c r="V36" i="3"/>
  <c r="V35" i="3"/>
  <c r="V33" i="3"/>
  <c r="V32" i="3"/>
  <c r="V31" i="3"/>
  <c r="V30" i="3"/>
  <c r="V29" i="3"/>
  <c r="V28" i="3"/>
  <c r="V27" i="3"/>
  <c r="V26" i="3"/>
  <c r="V25" i="3"/>
  <c r="AU24" i="3"/>
  <c r="V24" i="3"/>
  <c r="AU23" i="3"/>
  <c r="V23" i="3"/>
  <c r="AU22" i="3"/>
  <c r="V22" i="3"/>
  <c r="AU21" i="3"/>
  <c r="V21" i="3"/>
  <c r="AU20" i="3"/>
  <c r="V20" i="3"/>
  <c r="AU19" i="3"/>
  <c r="V19" i="3"/>
  <c r="AU18" i="3"/>
  <c r="V18" i="3"/>
  <c r="AU17" i="3"/>
  <c r="V17" i="3"/>
  <c r="AU16" i="3"/>
  <c r="V16" i="3"/>
  <c r="AU15" i="3"/>
  <c r="V15" i="3"/>
  <c r="AU14" i="3"/>
  <c r="V14" i="3"/>
  <c r="AU13" i="3"/>
  <c r="V13" i="3"/>
  <c r="AU12" i="3"/>
  <c r="V12" i="3"/>
  <c r="AU11" i="3"/>
  <c r="V11" i="3"/>
  <c r="AU10" i="3"/>
  <c r="V10" i="3"/>
  <c r="AU9" i="3"/>
  <c r="V9" i="3"/>
  <c r="AU8" i="3"/>
  <c r="V8" i="3"/>
  <c r="AU7" i="3"/>
  <c r="V7" i="3"/>
  <c r="AU6" i="3"/>
  <c r="V6" i="3"/>
  <c r="AU5" i="3"/>
  <c r="V5" i="3"/>
  <c r="AU4" i="3"/>
  <c r="V4" i="3"/>
  <c r="AU3" i="3"/>
  <c r="V3" i="3"/>
  <c r="AU2" i="3"/>
  <c r="V2" i="3"/>
  <c r="AV45" i="2"/>
  <c r="W45" i="2"/>
  <c r="AV44" i="2"/>
  <c r="W44" i="2"/>
  <c r="AV43" i="2"/>
  <c r="W43" i="2"/>
  <c r="AV42" i="2"/>
  <c r="W42" i="2"/>
  <c r="W41" i="2"/>
  <c r="W40" i="2"/>
  <c r="W39" i="2"/>
  <c r="AV23" i="2"/>
  <c r="W23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4" i="2"/>
  <c r="W25" i="2"/>
  <c r="W26" i="2"/>
  <c r="W27" i="2"/>
  <c r="W28" i="2"/>
  <c r="W29" i="2"/>
  <c r="W30" i="2"/>
  <c r="W31" i="2"/>
  <c r="W32" i="2"/>
  <c r="W33" i="2"/>
  <c r="W35" i="2"/>
  <c r="W36" i="2"/>
  <c r="W37" i="2"/>
  <c r="W38" i="2"/>
  <c r="W2" i="2"/>
  <c r="AV24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3" i="2"/>
  <c r="AV4" i="2"/>
  <c r="AV5" i="2"/>
  <c r="AV6" i="2"/>
  <c r="AV2" i="2"/>
</calcChain>
</file>

<file path=xl/sharedStrings.xml><?xml version="1.0" encoding="utf-8"?>
<sst xmlns="http://schemas.openxmlformats.org/spreadsheetml/2006/main" count="4651" uniqueCount="154">
  <si>
    <t>Batch Name</t>
  </si>
  <si>
    <t>RWA Exps Typ</t>
  </si>
  <si>
    <t>GFCID</t>
  </si>
  <si>
    <t>Netting Set ID</t>
  </si>
  <si>
    <t>Netting Agreement ID</t>
  </si>
  <si>
    <t>Netting Flag</t>
  </si>
  <si>
    <t>Sft Transaction Type</t>
  </si>
  <si>
    <t>Bal Typ Cd</t>
  </si>
  <si>
    <t>Source system ID</t>
  </si>
  <si>
    <t>Source Txns ID</t>
  </si>
  <si>
    <t>Portfolio Type</t>
  </si>
  <si>
    <t>IMS Account Number</t>
  </si>
  <si>
    <t>Account Mnemonic</t>
  </si>
  <si>
    <t>Gfmis Code</t>
  </si>
  <si>
    <t>Sub Product</t>
  </si>
  <si>
    <t>Dsft Base Mpor</t>
  </si>
  <si>
    <t>Dsft Issue Mpor</t>
  </si>
  <si>
    <t>Dsft Issuer Mpor</t>
  </si>
  <si>
    <t>Dsft Base Conc</t>
  </si>
  <si>
    <t>Security ID Type</t>
  </si>
  <si>
    <t>Security Description</t>
  </si>
  <si>
    <t>Security Rating</t>
  </si>
  <si>
    <t>Stale prc flg 2days</t>
  </si>
  <si>
    <t>Illiquid Collateral Flag</t>
  </si>
  <si>
    <t>Illiquid flag derived</t>
  </si>
  <si>
    <t>Large Netting Set Flag</t>
  </si>
  <si>
    <t>Margin Dispute Flag</t>
  </si>
  <si>
    <t>Is Portfolio Concentrated</t>
  </si>
  <si>
    <t>Extended MPOR indicator</t>
  </si>
  <si>
    <t>Extended MPOR Reason</t>
  </si>
  <si>
    <t>Concentration flag derived</t>
  </si>
  <si>
    <t>LRM Flag</t>
  </si>
  <si>
    <t>SWWR Flag</t>
  </si>
  <si>
    <t>SWWR Description</t>
  </si>
  <si>
    <t>Agency Lending Indicator</t>
  </si>
  <si>
    <t>Basel Calculation Methodology Code</t>
  </si>
  <si>
    <t>Haircut</t>
  </si>
  <si>
    <t>Haircut Eligible Status</t>
  </si>
  <si>
    <t>Haircut Eligible Reason Cd</t>
  </si>
  <si>
    <t>Basel Calculatio Methodology Code Description</t>
  </si>
  <si>
    <t>Settlement Date</t>
  </si>
  <si>
    <t>Maturity Date</t>
  </si>
  <si>
    <t>ISO Currency</t>
  </si>
  <si>
    <t>ISO CCY</t>
  </si>
  <si>
    <t>Prin CCY</t>
  </si>
  <si>
    <t>Largest Net CCY</t>
  </si>
  <si>
    <t>Agr Settlement Ccy code</t>
  </si>
  <si>
    <t>Buy or Sell Indicator</t>
  </si>
  <si>
    <t>Std DSFT Final MPOR</t>
  </si>
  <si>
    <t>NS MPOR</t>
  </si>
  <si>
    <t>Scen A MPOR</t>
  </si>
  <si>
    <t>NS MPOR  - Scen B</t>
  </si>
  <si>
    <t>Scen B MPOR</t>
  </si>
  <si>
    <t>NS MPOR - FED</t>
  </si>
  <si>
    <t>FED Scen MPOR</t>
  </si>
  <si>
    <t>Period of Risk Days</t>
  </si>
  <si>
    <t>Remargining Frequency</t>
  </si>
  <si>
    <t>Scenario</t>
  </si>
  <si>
    <t>STD EAD Scenario Used</t>
  </si>
  <si>
    <t>Check Scenario</t>
  </si>
  <si>
    <t>Dsft Cmtrcvrfac Scen1</t>
  </si>
  <si>
    <t>Dsft Rcvr Fac Scen2</t>
  </si>
  <si>
    <t>Trade level Exposure</t>
  </si>
  <si>
    <t>Trade level Collateral</t>
  </si>
  <si>
    <t>Eligible Collateral</t>
  </si>
  <si>
    <t>Final Collateral (Scen A)</t>
  </si>
  <si>
    <t>Final Collateral (Scen B)</t>
  </si>
  <si>
    <t>Final Collateral (FED Scen)</t>
  </si>
  <si>
    <t>Security Addon (Exposure)</t>
  </si>
  <si>
    <t>Security Addon (Collateral)</t>
  </si>
  <si>
    <t>Security Addon (Collateral) - Scen B</t>
  </si>
  <si>
    <t>Security Addon (Collateral) - FED Scen</t>
  </si>
  <si>
    <t>Exposure Currency</t>
  </si>
  <si>
    <t>Collateral Currency</t>
  </si>
  <si>
    <t>Collateral Amount Advanced Trade Level</t>
  </si>
  <si>
    <t>Exposure Amount Advanced Trade Level</t>
  </si>
  <si>
    <t>Security Quantity</t>
  </si>
  <si>
    <t>PRE TLA STD Exp Amt</t>
  </si>
  <si>
    <t>Pre TLA STD Exp Amt</t>
  </si>
  <si>
    <t>Pre TLA STD CLLT Amt</t>
  </si>
  <si>
    <t>Pre TLA STD Sec Addon Amt</t>
  </si>
  <si>
    <t>Pre TLA STD FX Addon Amt</t>
  </si>
  <si>
    <t>Pre TLA STD EAD Amt</t>
  </si>
  <si>
    <t>Principal</t>
  </si>
  <si>
    <t>Market Value</t>
  </si>
  <si>
    <t>Original Market Value</t>
  </si>
  <si>
    <t>Std Collateral Amount</t>
  </si>
  <si>
    <t>Exposure Amount</t>
  </si>
  <si>
    <t>Collateral Amount</t>
  </si>
  <si>
    <t>Std Reported Ead</t>
  </si>
  <si>
    <t>SA RWA</t>
  </si>
  <si>
    <t>Dsft Over Mpor Scen1</t>
  </si>
  <si>
    <t>Dsft Over Mpor Scen2</t>
  </si>
  <si>
    <t>Counterparty GFCID</t>
  </si>
  <si>
    <t>GFCID Name</t>
  </si>
  <si>
    <t>USCON</t>
  </si>
  <si>
    <t>Y</t>
  </si>
  <si>
    <t>MARGIN_LOAN</t>
  </si>
  <si>
    <t>Netting Set</t>
  </si>
  <si>
    <t>02</t>
  </si>
  <si>
    <t>NOT_CONCENTRATED</t>
  </si>
  <si>
    <t>CUSP</t>
  </si>
  <si>
    <t>Security ID</t>
  </si>
  <si>
    <t>90258H219</t>
  </si>
  <si>
    <t>39572D198</t>
  </si>
  <si>
    <t>23489B234</t>
  </si>
  <si>
    <t>Unrated</t>
  </si>
  <si>
    <t>N</t>
  </si>
  <si>
    <t>Concentrated</t>
  </si>
  <si>
    <t>No SWWR</t>
  </si>
  <si>
    <t xml:space="preserve">                            </t>
  </si>
  <si>
    <t>Elligible</t>
  </si>
  <si>
    <t>Elligible-Equity Public</t>
  </si>
  <si>
    <t>B3</t>
  </si>
  <si>
    <t>EUR</t>
  </si>
  <si>
    <t>USD</t>
  </si>
  <si>
    <t>B</t>
  </si>
  <si>
    <t>S</t>
  </si>
  <si>
    <t>SCENARIO</t>
  </si>
  <si>
    <t>SCENARIO1</t>
  </si>
  <si>
    <t>Ineligible</t>
  </si>
  <si>
    <t>Defaulting to INELIGIBLE as SMCP not found</t>
  </si>
  <si>
    <t>ISO Currency Derived</t>
  </si>
  <si>
    <t>Ctpy 1</t>
  </si>
  <si>
    <t>SFT</t>
  </si>
  <si>
    <t>Ctpy 2</t>
  </si>
  <si>
    <t>Ctpy 3</t>
  </si>
  <si>
    <t>Ctpy 4</t>
  </si>
  <si>
    <t>Ctpy 5</t>
  </si>
  <si>
    <t>01</t>
  </si>
  <si>
    <t>15893H123</t>
  </si>
  <si>
    <t>128935J129</t>
  </si>
  <si>
    <t>CAD</t>
  </si>
  <si>
    <t>GBP</t>
  </si>
  <si>
    <t>SCENARIO2</t>
  </si>
  <si>
    <t>SEVERE_CONCENTRATION</t>
  </si>
  <si>
    <t>HIGH_CONCENTRATION</t>
  </si>
  <si>
    <t>90258H221</t>
  </si>
  <si>
    <t>65739B234</t>
  </si>
  <si>
    <t>EligVC:Ineligible-Debt-NIG-ER&gt;3</t>
  </si>
  <si>
    <t>Elligible-Debt-IG-ER[1,2,3]-No IR</t>
  </si>
  <si>
    <t>Ctpy 6</t>
  </si>
  <si>
    <t>91471J129</t>
  </si>
  <si>
    <t>EligVC:Ineligible-Debt-NIG-No ER/IR</t>
  </si>
  <si>
    <t>Eligible-Cash</t>
  </si>
  <si>
    <t>CASH REPO MARGIN</t>
  </si>
  <si>
    <t>Ctpy 7</t>
  </si>
  <si>
    <t>31241H821</t>
  </si>
  <si>
    <t>Ctpy 8</t>
  </si>
  <si>
    <t>Ctpy 9</t>
  </si>
  <si>
    <t>39572D194</t>
  </si>
  <si>
    <t>23489B23</t>
  </si>
  <si>
    <t>Ctpy 10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</si>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</sst>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3" fillId="3" borderId="0" xfId="0" applyFont="1" applyFill="1"/>
    <xf numFmtId="14" fontId="0" fillId="0" borderId="0" xfId="0" applyNumberFormat="1"/>
    <xf numFmtId="43" fontId="1" fillId="2" borderId="0" xfId="1" applyFont="1" applyFill="1"/>
    <xf numFmtId="43" fontId="0" fillId="0" borderId="0" xfId="1" applyFont="1"/>
    <xf numFmtId="0" fontId="5" fillId="0" borderId="0" xfId="0" applyFont="1"/>
    <xf numFmtId="14" fontId="0" fillId="4" borderId="0" xfId="0" applyNumberFormat="1" applyFill="1"/>
    <xf numFmtId="0" fontId="0" fillId="4" borderId="0" xfId="0" applyFill="1"/>
    <xf numFmtId="49" fontId="0" fillId="4" borderId="0" xfId="0" applyNumberFormat="1" applyFill="1"/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312F6-683F-44CC-A531-C4162971BC8D}">
  <dimension ref="A1:A97"/>
  <sheetViews>
    <sheetView topLeftCell="A13" workbookViewId="0">
      <selection activeCell="D43" sqref="D43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102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30</v>
      </c>
    </row>
    <row r="33" spans="1:1" x14ac:dyDescent="0.25">
      <c r="A33" t="s">
        <v>31</v>
      </c>
    </row>
    <row r="34" spans="1:1" x14ac:dyDescent="0.25">
      <c r="A34" t="s">
        <v>32</v>
      </c>
    </row>
    <row r="35" spans="1:1" x14ac:dyDescent="0.25">
      <c r="A35" t="s">
        <v>33</v>
      </c>
    </row>
    <row r="36" spans="1:1" x14ac:dyDescent="0.25">
      <c r="A36" t="s">
        <v>34</v>
      </c>
    </row>
    <row r="37" spans="1:1" x14ac:dyDescent="0.25">
      <c r="A37" t="s">
        <v>35</v>
      </c>
    </row>
    <row r="38" spans="1:1" x14ac:dyDescent="0.25">
      <c r="A38" t="s">
        <v>36</v>
      </c>
    </row>
    <row r="39" spans="1:1" x14ac:dyDescent="0.25">
      <c r="A39" t="s">
        <v>37</v>
      </c>
    </row>
    <row r="40" spans="1:1" x14ac:dyDescent="0.25">
      <c r="A40" t="s">
        <v>38</v>
      </c>
    </row>
    <row r="41" spans="1:1" x14ac:dyDescent="0.25">
      <c r="A41" t="s">
        <v>39</v>
      </c>
    </row>
    <row r="42" spans="1:1" x14ac:dyDescent="0.25">
      <c r="A42" t="s">
        <v>40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43</v>
      </c>
    </row>
    <row r="46" spans="1:1" x14ac:dyDescent="0.25">
      <c r="A46" t="s">
        <v>44</v>
      </c>
    </row>
    <row r="47" spans="1:1" x14ac:dyDescent="0.25">
      <c r="A47" t="s">
        <v>122</v>
      </c>
    </row>
    <row r="48" spans="1:1" x14ac:dyDescent="0.25">
      <c r="A48" t="s">
        <v>45</v>
      </c>
    </row>
    <row r="49" spans="1:1" x14ac:dyDescent="0.25">
      <c r="A49" t="s">
        <v>46</v>
      </c>
    </row>
    <row r="50" spans="1:1" x14ac:dyDescent="0.25">
      <c r="A50" t="s">
        <v>47</v>
      </c>
    </row>
    <row r="51" spans="1:1" x14ac:dyDescent="0.25">
      <c r="A51" t="s">
        <v>48</v>
      </c>
    </row>
    <row r="52" spans="1:1" x14ac:dyDescent="0.25">
      <c r="A52" t="s">
        <v>49</v>
      </c>
    </row>
    <row r="53" spans="1:1" x14ac:dyDescent="0.25">
      <c r="A53" t="s">
        <v>50</v>
      </c>
    </row>
    <row r="54" spans="1:1" x14ac:dyDescent="0.25">
      <c r="A54" t="s">
        <v>51</v>
      </c>
    </row>
    <row r="55" spans="1:1" x14ac:dyDescent="0.25">
      <c r="A55" t="s">
        <v>52</v>
      </c>
    </row>
    <row r="56" spans="1:1" x14ac:dyDescent="0.25">
      <c r="A56" t="s">
        <v>53</v>
      </c>
    </row>
    <row r="57" spans="1:1" x14ac:dyDescent="0.25">
      <c r="A57" t="s">
        <v>54</v>
      </c>
    </row>
    <row r="58" spans="1:1" x14ac:dyDescent="0.25">
      <c r="A58" t="s">
        <v>55</v>
      </c>
    </row>
    <row r="59" spans="1:1" x14ac:dyDescent="0.25">
      <c r="A59" t="s">
        <v>56</v>
      </c>
    </row>
    <row r="60" spans="1:1" x14ac:dyDescent="0.25">
      <c r="A60" t="s">
        <v>57</v>
      </c>
    </row>
    <row r="61" spans="1:1" x14ac:dyDescent="0.25">
      <c r="A61" t="s">
        <v>58</v>
      </c>
    </row>
    <row r="62" spans="1:1" x14ac:dyDescent="0.25">
      <c r="A62" t="s">
        <v>59</v>
      </c>
    </row>
    <row r="63" spans="1:1" x14ac:dyDescent="0.25">
      <c r="A63" t="s">
        <v>60</v>
      </c>
    </row>
    <row r="64" spans="1:1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7" spans="1:1" x14ac:dyDescent="0.25">
      <c r="A67" t="s">
        <v>64</v>
      </c>
    </row>
    <row r="68" spans="1:1" x14ac:dyDescent="0.25">
      <c r="A68" t="s">
        <v>65</v>
      </c>
    </row>
    <row r="69" spans="1:1" x14ac:dyDescent="0.25">
      <c r="A69" t="s">
        <v>66</v>
      </c>
    </row>
    <row r="70" spans="1:1" x14ac:dyDescent="0.25">
      <c r="A70" t="s">
        <v>67</v>
      </c>
    </row>
    <row r="71" spans="1:1" x14ac:dyDescent="0.25">
      <c r="A71" t="s">
        <v>68</v>
      </c>
    </row>
    <row r="72" spans="1:1" x14ac:dyDescent="0.25">
      <c r="A72" t="s">
        <v>69</v>
      </c>
    </row>
    <row r="73" spans="1:1" x14ac:dyDescent="0.25">
      <c r="A73" t="s">
        <v>70</v>
      </c>
    </row>
    <row r="74" spans="1:1" x14ac:dyDescent="0.25">
      <c r="A74" t="s">
        <v>71</v>
      </c>
    </row>
    <row r="75" spans="1:1" x14ac:dyDescent="0.25">
      <c r="A75" t="s">
        <v>72</v>
      </c>
    </row>
    <row r="76" spans="1:1" x14ac:dyDescent="0.25">
      <c r="A76" t="s">
        <v>73</v>
      </c>
    </row>
    <row r="77" spans="1:1" x14ac:dyDescent="0.25">
      <c r="A77" t="s">
        <v>74</v>
      </c>
    </row>
    <row r="78" spans="1:1" x14ac:dyDescent="0.25">
      <c r="A78" t="s">
        <v>75</v>
      </c>
    </row>
    <row r="79" spans="1:1" x14ac:dyDescent="0.25">
      <c r="A79" t="s">
        <v>76</v>
      </c>
    </row>
    <row r="80" spans="1:1" x14ac:dyDescent="0.25">
      <c r="A80" t="s">
        <v>77</v>
      </c>
    </row>
    <row r="81" spans="1:1" x14ac:dyDescent="0.25">
      <c r="A81" t="s">
        <v>78</v>
      </c>
    </row>
    <row r="82" spans="1:1" x14ac:dyDescent="0.25">
      <c r="A82" t="s">
        <v>79</v>
      </c>
    </row>
    <row r="83" spans="1:1" x14ac:dyDescent="0.25">
      <c r="A83" t="s">
        <v>80</v>
      </c>
    </row>
    <row r="84" spans="1:1" x14ac:dyDescent="0.25">
      <c r="A84" t="s">
        <v>81</v>
      </c>
    </row>
    <row r="85" spans="1:1" x14ac:dyDescent="0.25">
      <c r="A85" t="s">
        <v>82</v>
      </c>
    </row>
    <row r="86" spans="1:1" x14ac:dyDescent="0.25">
      <c r="A86" t="s">
        <v>83</v>
      </c>
    </row>
    <row r="87" spans="1:1" x14ac:dyDescent="0.25">
      <c r="A87" t="s">
        <v>84</v>
      </c>
    </row>
    <row r="88" spans="1:1" x14ac:dyDescent="0.25">
      <c r="A88" t="s">
        <v>85</v>
      </c>
    </row>
    <row r="89" spans="1:1" x14ac:dyDescent="0.25">
      <c r="A89" t="s">
        <v>86</v>
      </c>
    </row>
    <row r="90" spans="1:1" x14ac:dyDescent="0.25">
      <c r="A90" t="s">
        <v>87</v>
      </c>
    </row>
    <row r="91" spans="1:1" x14ac:dyDescent="0.25">
      <c r="A91" t="s">
        <v>88</v>
      </c>
    </row>
    <row r="92" spans="1:1" x14ac:dyDescent="0.25">
      <c r="A92" t="s">
        <v>89</v>
      </c>
    </row>
    <row r="93" spans="1:1" x14ac:dyDescent="0.25">
      <c r="A93" t="s">
        <v>90</v>
      </c>
    </row>
    <row r="94" spans="1:1" x14ac:dyDescent="0.25">
      <c r="A94" t="s">
        <v>91</v>
      </c>
    </row>
    <row r="95" spans="1:1" x14ac:dyDescent="0.25">
      <c r="A95" t="s">
        <v>92</v>
      </c>
    </row>
    <row r="96" spans="1:1" x14ac:dyDescent="0.25">
      <c r="A96" t="s">
        <v>93</v>
      </c>
    </row>
    <row r="97" spans="1:1" x14ac:dyDescent="0.25">
      <c r="A97" t="s">
        <v>94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FA33-DA5D-4E3D-BA38-E34454F2D8E1}">
  <dimension ref="A1:BT89"/>
  <sheetViews>
    <sheetView tabSelected="1" workbookViewId="0">
      <pane ySplit="1" topLeftCell="A2" activePane="bottomLeft" state="frozen"/>
      <selection activeCell="Z1" sqref="Z1"/>
      <selection pane="bottomLeft" activeCell="M8" sqref="M8"/>
    </sheetView>
  </sheetViews>
  <sheetFormatPr defaultRowHeight="15" x14ac:dyDescent="0.25"/>
  <cols>
    <col min="1" max="1" width="9.42578125" bestFit="1" customWidth="1"/>
    <col min="2" max="2" width="11.7109375" bestFit="1" customWidth="1"/>
    <col min="3" max="3" width="12.85546875" bestFit="1" customWidth="1"/>
    <col min="4" max="4" width="10" bestFit="1" customWidth="1"/>
    <col min="5" max="5" width="12.5703125" bestFit="1" customWidth="1"/>
    <col min="6" max="6" width="19.5703125" bestFit="1" customWidth="1"/>
    <col min="7" max="7" width="11.42578125" customWidth="1"/>
    <col min="8" max="8" width="18.85546875" customWidth="1"/>
    <col min="9" max="9" width="10" customWidth="1"/>
    <col min="10" max="10" width="16" customWidth="1"/>
    <col min="11" max="11" width="13.85546875" customWidth="1"/>
    <col min="12" max="12" width="13.140625" customWidth="1"/>
    <col min="13" max="13" width="19.5703125" customWidth="1"/>
    <col min="14" max="14" width="18.140625" style="3" customWidth="1"/>
    <col min="15" max="15" width="11" customWidth="1"/>
    <col min="16" max="16" width="11.5703125" customWidth="1"/>
    <col min="17" max="17" width="14.28515625" customWidth="1"/>
    <col min="18" max="18" width="14.7109375" customWidth="1"/>
    <col min="19" max="19" width="15.42578125" customWidth="1"/>
    <col min="20" max="20" width="14.140625" customWidth="1"/>
    <col min="21" max="22" width="14.7109375" customWidth="1"/>
    <col min="23" max="23" width="18.7109375" customWidth="1"/>
    <col min="24" max="24" width="14" customWidth="1"/>
    <col min="25" max="25" width="16.85546875" customWidth="1"/>
    <col min="26" max="26" width="20.7109375" customWidth="1"/>
    <col min="27" max="27" width="18.140625" customWidth="1"/>
    <col min="28" max="28" width="19.85546875" customWidth="1"/>
    <col min="29" max="29" width="18.7109375" customWidth="1"/>
    <col min="30" max="30" width="23.140625" customWidth="1"/>
    <col min="31" max="31" width="23.42578125" customWidth="1"/>
    <col min="32" max="32" width="22" customWidth="1"/>
    <col min="33" max="33" width="24.42578125" customWidth="1"/>
    <col min="34" max="34" width="8.7109375" customWidth="1"/>
    <col min="35" max="35" width="10.7109375" customWidth="1"/>
    <col min="36" max="36" width="17.42578125" customWidth="1"/>
    <col min="37" max="37" width="23.28515625" customWidth="1"/>
    <col min="38" max="38" width="33.85546875" customWidth="1"/>
    <col min="39" max="39" width="7.42578125" customWidth="1"/>
    <col min="40" max="40" width="20.42578125" customWidth="1"/>
    <col min="41" max="41" width="24.42578125" customWidth="1"/>
    <col min="42" max="42" width="43.5703125" customWidth="1"/>
    <col min="43" max="43" width="14.7109375" customWidth="1"/>
    <col min="44" max="44" width="12.5703125" customWidth="1"/>
    <col min="45" max="45" width="12.140625" customWidth="1"/>
    <col min="46" max="47" width="7.7109375" customWidth="1"/>
    <col min="48" max="48" width="8.28515625" customWidth="1"/>
    <col min="49" max="49" width="14.5703125" customWidth="1"/>
    <col min="50" max="50" width="22" customWidth="1"/>
    <col min="51" max="51" width="18.7109375" customWidth="1"/>
    <col min="52" max="52" width="19.28515625" customWidth="1"/>
    <col min="53" max="53" width="9.140625" customWidth="1"/>
    <col min="54" max="54" width="12.42578125" customWidth="1"/>
    <col min="55" max="55" width="17" customWidth="1"/>
    <col min="56" max="56" width="12.42578125" customWidth="1"/>
    <col min="57" max="57" width="18" customWidth="1"/>
    <col min="58" max="58" width="22" customWidth="1"/>
    <col min="59" max="59" width="9.85546875" customWidth="1"/>
    <col min="60" max="60" width="21.5703125" customWidth="1"/>
    <col min="61" max="61" width="14.5703125" customWidth="1"/>
    <col min="62" max="62" width="20.140625" customWidth="1"/>
    <col min="63" max="63" width="18" customWidth="1"/>
    <col min="64" max="64" width="17.42578125" customWidth="1"/>
    <col min="65" max="65" width="18" customWidth="1"/>
    <col min="66" max="66" width="15.85546875" customWidth="1"/>
    <col min="67" max="67" width="9" customWidth="1"/>
    <col min="68" max="68" width="14.85546875" bestFit="1" customWidth="1"/>
    <col min="69" max="70" width="19.7109375" customWidth="1"/>
    <col min="71" max="71" width="18.28515625" bestFit="1" customWidth="1"/>
    <col min="72" max="72" width="12" bestFit="1" customWidth="1"/>
  </cols>
  <sheetData>
    <row r="1" spans="1:72" s="1" customFormat="1" x14ac:dyDescent="0.25">
      <c r="A1" s="1" t="s">
        <v>153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102</v>
      </c>
      <c r="W1" s="1" t="s">
        <v>20</v>
      </c>
      <c r="X1" s="1" t="s">
        <v>21</v>
      </c>
      <c r="Y1" s="1" t="s">
        <v>22</v>
      </c>
      <c r="Z1" s="1" t="s">
        <v>23</v>
      </c>
      <c r="AA1" s="4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4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122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72</v>
      </c>
      <c r="BM1" s="1" t="s">
        <v>73</v>
      </c>
      <c r="BN1" s="1" t="s">
        <v>76</v>
      </c>
      <c r="BO1" s="1" t="s">
        <v>83</v>
      </c>
      <c r="BP1" s="1" t="s">
        <v>84</v>
      </c>
      <c r="BQ1" s="1" t="s">
        <v>91</v>
      </c>
      <c r="BR1" s="1" t="s">
        <v>92</v>
      </c>
      <c r="BS1" s="1" t="s">
        <v>93</v>
      </c>
      <c r="BT1" s="1" t="s">
        <v>94</v>
      </c>
    </row>
    <row r="2" spans="1:72" x14ac:dyDescent="0.25">
      <c r="A2" s="5">
        <v>45838</v>
      </c>
      <c r="B2" t="s">
        <v>95</v>
      </c>
      <c r="C2">
        <v>12</v>
      </c>
      <c r="D2">
        <v>100000001</v>
      </c>
      <c r="E2">
        <v>1</v>
      </c>
      <c r="F2">
        <v>1</v>
      </c>
      <c r="G2" t="s">
        <v>96</v>
      </c>
      <c r="H2" t="s">
        <v>97</v>
      </c>
      <c r="I2">
        <v>15</v>
      </c>
      <c r="J2">
        <v>163186</v>
      </c>
      <c r="K2">
        <v>59328417</v>
      </c>
      <c r="L2" t="s">
        <v>98</v>
      </c>
      <c r="M2">
        <v>1</v>
      </c>
      <c r="N2" s="3" t="s">
        <v>99</v>
      </c>
      <c r="O2">
        <v>1</v>
      </c>
      <c r="P2">
        <v>2</v>
      </c>
      <c r="Q2">
        <v>5</v>
      </c>
      <c r="R2">
        <v>0</v>
      </c>
      <c r="S2">
        <v>5</v>
      </c>
      <c r="T2" t="s">
        <v>100</v>
      </c>
      <c r="U2" t="s">
        <v>101</v>
      </c>
      <c r="V2" t="s">
        <v>103</v>
      </c>
      <c r="W2" t="str">
        <f>_xlfn.CONCAT("Security ",ROW()-1)</f>
        <v>Security 1</v>
      </c>
      <c r="X2" t="s">
        <v>106</v>
      </c>
      <c r="Y2" t="s">
        <v>107</v>
      </c>
      <c r="Z2" t="s">
        <v>107</v>
      </c>
      <c r="AA2" t="s">
        <v>107</v>
      </c>
      <c r="AB2" t="s">
        <v>107</v>
      </c>
      <c r="AC2" t="s">
        <v>107</v>
      </c>
      <c r="AD2" t="s">
        <v>96</v>
      </c>
      <c r="AE2" t="s">
        <v>96</v>
      </c>
      <c r="AF2" t="s">
        <v>108</v>
      </c>
      <c r="AG2" t="b">
        <v>0</v>
      </c>
      <c r="AH2" t="s">
        <v>96</v>
      </c>
      <c r="AI2" t="s">
        <v>107</v>
      </c>
      <c r="AJ2" t="s">
        <v>109</v>
      </c>
      <c r="AL2">
        <v>1</v>
      </c>
      <c r="AM2">
        <v>0.15</v>
      </c>
      <c r="AN2" t="s">
        <v>111</v>
      </c>
      <c r="AO2" t="s">
        <v>112</v>
      </c>
      <c r="AP2" t="s">
        <v>113</v>
      </c>
      <c r="AQ2" s="5">
        <v>1</v>
      </c>
      <c r="AS2" t="s">
        <v>114</v>
      </c>
      <c r="AT2" t="s">
        <v>114</v>
      </c>
      <c r="AV2" t="str">
        <f>IF(OR(AT2="",AT2="null"),AX2,AT2)</f>
        <v>EUR</v>
      </c>
      <c r="AW2" t="s">
        <v>115</v>
      </c>
      <c r="AX2" t="s">
        <v>115</v>
      </c>
      <c r="AY2" t="s">
        <v>116</v>
      </c>
      <c r="AZ2">
        <v>10</v>
      </c>
      <c r="BA2">
        <v>20</v>
      </c>
      <c r="BB2">
        <v>20</v>
      </c>
      <c r="BC2">
        <v>10</v>
      </c>
      <c r="BD2">
        <v>10</v>
      </c>
      <c r="BE2">
        <v>10</v>
      </c>
      <c r="BF2">
        <v>1</v>
      </c>
      <c r="BG2" t="s">
        <v>118</v>
      </c>
      <c r="BH2" t="s">
        <v>119</v>
      </c>
      <c r="BI2" t="b">
        <v>1</v>
      </c>
      <c r="BJ2">
        <v>1</v>
      </c>
      <c r="BK2">
        <v>1</v>
      </c>
      <c r="BM2" t="s">
        <v>114</v>
      </c>
      <c r="BN2">
        <v>18000</v>
      </c>
      <c r="BP2">
        <v>891186.97</v>
      </c>
      <c r="BQ2">
        <v>10</v>
      </c>
      <c r="BR2">
        <v>20</v>
      </c>
      <c r="BS2">
        <v>100000001</v>
      </c>
      <c r="BT2" t="s">
        <v>123</v>
      </c>
    </row>
    <row r="3" spans="1:72" x14ac:dyDescent="0.25">
      <c r="A3" s="5">
        <v>45838</v>
      </c>
      <c r="B3" t="s">
        <v>95</v>
      </c>
      <c r="C3">
        <v>12</v>
      </c>
      <c r="D3">
        <v>100000001</v>
      </c>
      <c r="E3">
        <v>1</v>
      </c>
      <c r="F3">
        <v>1</v>
      </c>
      <c r="G3" t="s">
        <v>96</v>
      </c>
      <c r="H3" t="s">
        <v>97</v>
      </c>
      <c r="I3">
        <v>15</v>
      </c>
      <c r="J3">
        <v>163186</v>
      </c>
      <c r="K3">
        <v>81426350</v>
      </c>
      <c r="L3" t="s">
        <v>98</v>
      </c>
      <c r="M3">
        <v>1</v>
      </c>
      <c r="N3" s="3" t="s">
        <v>99</v>
      </c>
      <c r="O3">
        <v>1</v>
      </c>
      <c r="P3">
        <v>2</v>
      </c>
      <c r="Q3">
        <v>5</v>
      </c>
      <c r="R3">
        <v>0</v>
      </c>
      <c r="S3">
        <v>5</v>
      </c>
      <c r="T3" t="s">
        <v>100</v>
      </c>
      <c r="U3" t="s">
        <v>101</v>
      </c>
      <c r="V3" t="s">
        <v>104</v>
      </c>
      <c r="W3" t="str">
        <f t="shared" ref="W3:W66" si="0">_xlfn.CONCAT("Security ",ROW()-1)</f>
        <v>Security 2</v>
      </c>
      <c r="X3" t="s">
        <v>106</v>
      </c>
      <c r="Y3" t="s">
        <v>107</v>
      </c>
      <c r="Z3" t="s">
        <v>107</v>
      </c>
      <c r="AA3" t="s">
        <v>107</v>
      </c>
      <c r="AB3" t="s">
        <v>107</v>
      </c>
      <c r="AC3" t="s">
        <v>107</v>
      </c>
      <c r="AD3" t="s">
        <v>96</v>
      </c>
      <c r="AE3" t="s">
        <v>96</v>
      </c>
      <c r="AF3" t="s">
        <v>108</v>
      </c>
      <c r="AG3" t="b">
        <v>0</v>
      </c>
      <c r="AH3" t="s">
        <v>96</v>
      </c>
      <c r="AI3" t="s">
        <v>107</v>
      </c>
      <c r="AJ3" t="s">
        <v>109</v>
      </c>
      <c r="AL3">
        <v>1</v>
      </c>
      <c r="AM3">
        <v>0.25</v>
      </c>
      <c r="AN3" t="s">
        <v>111</v>
      </c>
      <c r="AO3" t="s">
        <v>112</v>
      </c>
      <c r="AP3" t="s">
        <v>113</v>
      </c>
      <c r="AQ3" s="5">
        <v>1</v>
      </c>
      <c r="AS3" t="s">
        <v>115</v>
      </c>
      <c r="AT3" t="s">
        <v>115</v>
      </c>
      <c r="AV3" t="str">
        <f t="shared" ref="AV3:AV6" si="1">IF(OR(AT3="",AT3="null"),AX3,AT3)</f>
        <v>USD</v>
      </c>
      <c r="AW3" t="s">
        <v>115</v>
      </c>
      <c r="AX3" t="s">
        <v>115</v>
      </c>
      <c r="AY3" t="s">
        <v>116</v>
      </c>
      <c r="AZ3">
        <v>10</v>
      </c>
      <c r="BA3">
        <v>20</v>
      </c>
      <c r="BB3">
        <v>20</v>
      </c>
      <c r="BC3">
        <v>10</v>
      </c>
      <c r="BD3">
        <v>10</v>
      </c>
      <c r="BE3">
        <v>10</v>
      </c>
      <c r="BF3">
        <v>1</v>
      </c>
      <c r="BG3" t="s">
        <v>118</v>
      </c>
      <c r="BH3" t="s">
        <v>119</v>
      </c>
      <c r="BI3" t="b">
        <v>1</v>
      </c>
      <c r="BJ3">
        <v>1</v>
      </c>
      <c r="BK3">
        <v>1</v>
      </c>
      <c r="BM3" t="s">
        <v>115</v>
      </c>
      <c r="BN3">
        <v>8000</v>
      </c>
      <c r="BP3">
        <v>113431.08</v>
      </c>
      <c r="BQ3">
        <v>10</v>
      </c>
      <c r="BR3">
        <v>20</v>
      </c>
      <c r="BS3">
        <v>100000001</v>
      </c>
      <c r="BT3" t="s">
        <v>123</v>
      </c>
    </row>
    <row r="4" spans="1:72" x14ac:dyDescent="0.25">
      <c r="A4" s="5">
        <v>45838</v>
      </c>
      <c r="B4" t="s">
        <v>95</v>
      </c>
      <c r="C4">
        <v>12</v>
      </c>
      <c r="D4">
        <v>100000001</v>
      </c>
      <c r="E4">
        <v>1</v>
      </c>
      <c r="F4">
        <v>1</v>
      </c>
      <c r="G4" t="s">
        <v>96</v>
      </c>
      <c r="H4" t="s">
        <v>97</v>
      </c>
      <c r="I4">
        <v>15</v>
      </c>
      <c r="J4">
        <v>163186</v>
      </c>
      <c r="K4">
        <v>70219543</v>
      </c>
      <c r="L4" t="s">
        <v>98</v>
      </c>
      <c r="M4">
        <v>1</v>
      </c>
      <c r="N4" s="3" t="s">
        <v>99</v>
      </c>
      <c r="O4">
        <v>1</v>
      </c>
      <c r="P4">
        <v>2</v>
      </c>
      <c r="Q4">
        <v>5</v>
      </c>
      <c r="R4">
        <v>0</v>
      </c>
      <c r="S4">
        <v>5</v>
      </c>
      <c r="T4" t="s">
        <v>100</v>
      </c>
      <c r="U4" t="s">
        <v>101</v>
      </c>
      <c r="V4">
        <v>294382048</v>
      </c>
      <c r="W4" t="str">
        <f t="shared" si="0"/>
        <v>Security 3</v>
      </c>
      <c r="X4" t="s">
        <v>106</v>
      </c>
      <c r="Y4" t="s">
        <v>107</v>
      </c>
      <c r="Z4" t="s">
        <v>107</v>
      </c>
      <c r="AA4" t="s">
        <v>107</v>
      </c>
      <c r="AB4" t="s">
        <v>107</v>
      </c>
      <c r="AC4" t="s">
        <v>107</v>
      </c>
      <c r="AD4" t="s">
        <v>96</v>
      </c>
      <c r="AE4" t="s">
        <v>96</v>
      </c>
      <c r="AF4" t="s">
        <v>108</v>
      </c>
      <c r="AG4" t="b">
        <v>0</v>
      </c>
      <c r="AH4" t="s">
        <v>96</v>
      </c>
      <c r="AI4" t="s">
        <v>107</v>
      </c>
      <c r="AJ4" t="s">
        <v>109</v>
      </c>
      <c r="AK4" t="s">
        <v>110</v>
      </c>
      <c r="AL4">
        <v>1</v>
      </c>
      <c r="AM4">
        <v>0.25</v>
      </c>
      <c r="AN4" t="s">
        <v>111</v>
      </c>
      <c r="AO4" t="s">
        <v>112</v>
      </c>
      <c r="AP4" t="s">
        <v>113</v>
      </c>
      <c r="AQ4" s="5">
        <v>1</v>
      </c>
      <c r="AS4" t="s">
        <v>115</v>
      </c>
      <c r="AT4" t="s">
        <v>115</v>
      </c>
      <c r="AV4" t="str">
        <f t="shared" si="1"/>
        <v>USD</v>
      </c>
      <c r="AW4" t="s">
        <v>115</v>
      </c>
      <c r="AX4" t="s">
        <v>115</v>
      </c>
      <c r="AY4" t="s">
        <v>117</v>
      </c>
      <c r="AZ4">
        <v>10</v>
      </c>
      <c r="BA4">
        <v>20</v>
      </c>
      <c r="BB4">
        <v>20</v>
      </c>
      <c r="BC4">
        <v>10</v>
      </c>
      <c r="BD4">
        <v>10</v>
      </c>
      <c r="BE4">
        <v>10</v>
      </c>
      <c r="BF4">
        <v>1</v>
      </c>
      <c r="BG4" t="s">
        <v>118</v>
      </c>
      <c r="BH4" t="s">
        <v>119</v>
      </c>
      <c r="BI4" t="b">
        <v>1</v>
      </c>
      <c r="BJ4">
        <v>1</v>
      </c>
      <c r="BK4">
        <v>1</v>
      </c>
      <c r="BL4" t="s">
        <v>115</v>
      </c>
      <c r="BN4">
        <v>1000</v>
      </c>
      <c r="BP4">
        <v>14744.43</v>
      </c>
      <c r="BQ4">
        <v>10</v>
      </c>
      <c r="BR4">
        <v>20</v>
      </c>
      <c r="BS4">
        <v>100000001</v>
      </c>
      <c r="BT4" t="s">
        <v>123</v>
      </c>
    </row>
    <row r="5" spans="1:72" x14ac:dyDescent="0.25">
      <c r="A5" s="5">
        <v>45838</v>
      </c>
      <c r="B5" t="s">
        <v>95</v>
      </c>
      <c r="C5">
        <v>12</v>
      </c>
      <c r="D5">
        <v>100000001</v>
      </c>
      <c r="E5">
        <v>1</v>
      </c>
      <c r="F5">
        <v>1</v>
      </c>
      <c r="G5" t="s">
        <v>96</v>
      </c>
      <c r="H5" t="s">
        <v>97</v>
      </c>
      <c r="I5">
        <v>15</v>
      </c>
      <c r="J5">
        <v>163186</v>
      </c>
      <c r="K5">
        <v>49613820</v>
      </c>
      <c r="L5" t="s">
        <v>98</v>
      </c>
      <c r="M5">
        <v>1</v>
      </c>
      <c r="N5" s="3" t="s">
        <v>99</v>
      </c>
      <c r="O5">
        <v>1</v>
      </c>
      <c r="P5">
        <v>2</v>
      </c>
      <c r="Q5">
        <v>5</v>
      </c>
      <c r="R5">
        <v>0</v>
      </c>
      <c r="S5">
        <v>5</v>
      </c>
      <c r="T5" t="s">
        <v>100</v>
      </c>
      <c r="U5" t="s">
        <v>101</v>
      </c>
      <c r="V5">
        <v>325892398</v>
      </c>
      <c r="W5" t="str">
        <f t="shared" si="0"/>
        <v>Security 4</v>
      </c>
      <c r="X5" t="s">
        <v>106</v>
      </c>
      <c r="Y5" t="s">
        <v>107</v>
      </c>
      <c r="Z5" t="s">
        <v>107</v>
      </c>
      <c r="AA5" t="s">
        <v>107</v>
      </c>
      <c r="AB5" t="s">
        <v>107</v>
      </c>
      <c r="AC5" t="s">
        <v>107</v>
      </c>
      <c r="AD5" t="s">
        <v>96</v>
      </c>
      <c r="AE5" t="s">
        <v>96</v>
      </c>
      <c r="AF5" t="s">
        <v>108</v>
      </c>
      <c r="AG5" t="b">
        <v>0</v>
      </c>
      <c r="AH5" t="s">
        <v>96</v>
      </c>
      <c r="AI5" t="s">
        <v>107</v>
      </c>
      <c r="AJ5" t="s">
        <v>109</v>
      </c>
      <c r="AL5">
        <v>1</v>
      </c>
      <c r="AM5">
        <v>0.25</v>
      </c>
      <c r="AN5" t="s">
        <v>111</v>
      </c>
      <c r="AO5" t="s">
        <v>112</v>
      </c>
      <c r="AP5" t="s">
        <v>113</v>
      </c>
      <c r="AQ5" s="5">
        <v>1</v>
      </c>
      <c r="AS5" t="s">
        <v>115</v>
      </c>
      <c r="AT5" t="s">
        <v>115</v>
      </c>
      <c r="AV5" t="str">
        <f t="shared" si="1"/>
        <v>USD</v>
      </c>
      <c r="AW5" t="s">
        <v>115</v>
      </c>
      <c r="AX5" t="s">
        <v>115</v>
      </c>
      <c r="AY5" t="s">
        <v>116</v>
      </c>
      <c r="AZ5">
        <v>10</v>
      </c>
      <c r="BA5">
        <v>20</v>
      </c>
      <c r="BB5">
        <v>20</v>
      </c>
      <c r="BC5">
        <v>10</v>
      </c>
      <c r="BD5">
        <v>10</v>
      </c>
      <c r="BE5">
        <v>10</v>
      </c>
      <c r="BF5">
        <v>1</v>
      </c>
      <c r="BG5" t="s">
        <v>118</v>
      </c>
      <c r="BH5" t="s">
        <v>119</v>
      </c>
      <c r="BI5" t="b">
        <v>1</v>
      </c>
      <c r="BJ5">
        <v>1</v>
      </c>
      <c r="BK5">
        <v>1</v>
      </c>
      <c r="BM5" t="s">
        <v>115</v>
      </c>
      <c r="BN5">
        <v>7000</v>
      </c>
      <c r="BP5">
        <v>324680.8</v>
      </c>
      <c r="BQ5">
        <v>10</v>
      </c>
      <c r="BR5">
        <v>20</v>
      </c>
      <c r="BS5">
        <v>100000001</v>
      </c>
      <c r="BT5" t="s">
        <v>123</v>
      </c>
    </row>
    <row r="6" spans="1:72" x14ac:dyDescent="0.25">
      <c r="A6" s="5">
        <v>45838</v>
      </c>
      <c r="B6" t="s">
        <v>95</v>
      </c>
      <c r="C6">
        <v>12</v>
      </c>
      <c r="D6">
        <v>100000001</v>
      </c>
      <c r="E6">
        <v>1</v>
      </c>
      <c r="F6">
        <v>1</v>
      </c>
      <c r="G6" t="s">
        <v>96</v>
      </c>
      <c r="H6" t="s">
        <v>97</v>
      </c>
      <c r="I6">
        <v>15</v>
      </c>
      <c r="J6">
        <v>163186</v>
      </c>
      <c r="K6">
        <v>38275196</v>
      </c>
      <c r="L6" t="s">
        <v>98</v>
      </c>
      <c r="M6">
        <v>1</v>
      </c>
      <c r="N6" s="3" t="s">
        <v>99</v>
      </c>
      <c r="O6">
        <v>1</v>
      </c>
      <c r="P6">
        <v>2</v>
      </c>
      <c r="Q6">
        <v>5</v>
      </c>
      <c r="R6">
        <v>0</v>
      </c>
      <c r="S6">
        <v>5</v>
      </c>
      <c r="T6" t="s">
        <v>100</v>
      </c>
      <c r="U6" t="s">
        <v>101</v>
      </c>
      <c r="V6" t="s">
        <v>105</v>
      </c>
      <c r="W6" t="str">
        <f t="shared" si="0"/>
        <v>Security 5</v>
      </c>
      <c r="X6" t="s">
        <v>106</v>
      </c>
      <c r="Y6" t="s">
        <v>107</v>
      </c>
      <c r="Z6" t="s">
        <v>107</v>
      </c>
      <c r="AA6" t="s">
        <v>107</v>
      </c>
      <c r="AB6" t="s">
        <v>107</v>
      </c>
      <c r="AC6" t="s">
        <v>107</v>
      </c>
      <c r="AD6" t="s">
        <v>96</v>
      </c>
      <c r="AE6" t="s">
        <v>96</v>
      </c>
      <c r="AF6" t="s">
        <v>108</v>
      </c>
      <c r="AG6" t="b">
        <v>0</v>
      </c>
      <c r="AH6" t="s">
        <v>96</v>
      </c>
      <c r="AI6" t="s">
        <v>107</v>
      </c>
      <c r="AJ6" t="s">
        <v>109</v>
      </c>
      <c r="AL6">
        <v>1</v>
      </c>
      <c r="AM6">
        <v>0.15</v>
      </c>
      <c r="AN6" t="s">
        <v>111</v>
      </c>
      <c r="AO6" t="s">
        <v>112</v>
      </c>
      <c r="AP6" t="s">
        <v>113</v>
      </c>
      <c r="AQ6" s="5">
        <v>1</v>
      </c>
      <c r="AS6" t="s">
        <v>115</v>
      </c>
      <c r="AT6" t="s">
        <v>115</v>
      </c>
      <c r="AV6" t="str">
        <f t="shared" si="1"/>
        <v>USD</v>
      </c>
      <c r="AW6" t="s">
        <v>115</v>
      </c>
      <c r="AX6" t="s">
        <v>115</v>
      </c>
      <c r="AY6" t="s">
        <v>116</v>
      </c>
      <c r="AZ6">
        <v>10</v>
      </c>
      <c r="BA6">
        <v>20</v>
      </c>
      <c r="BB6">
        <v>20</v>
      </c>
      <c r="BC6">
        <v>10</v>
      </c>
      <c r="BD6">
        <v>10</v>
      </c>
      <c r="BE6">
        <v>10</v>
      </c>
      <c r="BF6">
        <v>1</v>
      </c>
      <c r="BG6" t="s">
        <v>118</v>
      </c>
      <c r="BH6" t="s">
        <v>119</v>
      </c>
      <c r="BI6" t="b">
        <v>1</v>
      </c>
      <c r="BJ6">
        <v>1</v>
      </c>
      <c r="BK6">
        <v>1</v>
      </c>
      <c r="BM6" t="s">
        <v>115</v>
      </c>
      <c r="BN6">
        <v>20000</v>
      </c>
      <c r="BP6">
        <v>4850034.55</v>
      </c>
      <c r="BQ6">
        <v>10</v>
      </c>
      <c r="BR6">
        <v>20</v>
      </c>
      <c r="BS6">
        <v>100000001</v>
      </c>
      <c r="BT6" t="s">
        <v>123</v>
      </c>
    </row>
    <row r="7" spans="1:72" x14ac:dyDescent="0.25">
      <c r="A7" s="5">
        <v>45838</v>
      </c>
      <c r="B7" t="s">
        <v>95</v>
      </c>
      <c r="C7">
        <v>12</v>
      </c>
      <c r="D7">
        <v>100000001</v>
      </c>
      <c r="E7">
        <v>1</v>
      </c>
      <c r="F7">
        <v>1</v>
      </c>
      <c r="G7" t="s">
        <v>96</v>
      </c>
      <c r="H7" t="s">
        <v>97</v>
      </c>
      <c r="I7">
        <v>1</v>
      </c>
      <c r="J7">
        <v>163186</v>
      </c>
      <c r="K7">
        <v>91534082</v>
      </c>
      <c r="L7" t="s">
        <v>98</v>
      </c>
      <c r="M7">
        <v>1</v>
      </c>
      <c r="N7" s="3" t="s">
        <v>99</v>
      </c>
      <c r="O7">
        <v>1</v>
      </c>
      <c r="P7">
        <v>2</v>
      </c>
      <c r="Q7">
        <v>0</v>
      </c>
      <c r="R7">
        <v>0</v>
      </c>
      <c r="S7">
        <v>0</v>
      </c>
      <c r="U7" t="s">
        <v>101</v>
      </c>
      <c r="W7" t="str">
        <f t="shared" si="0"/>
        <v>Security 6</v>
      </c>
      <c r="X7" t="s">
        <v>106</v>
      </c>
      <c r="Y7" t="s">
        <v>107</v>
      </c>
      <c r="Z7" t="s">
        <v>96</v>
      </c>
      <c r="AA7" t="s">
        <v>107</v>
      </c>
      <c r="AB7" t="s">
        <v>107</v>
      </c>
      <c r="AC7" t="s">
        <v>107</v>
      </c>
      <c r="AD7" t="s">
        <v>96</v>
      </c>
      <c r="AE7" t="s">
        <v>96</v>
      </c>
      <c r="AF7" t="s">
        <v>108</v>
      </c>
      <c r="AG7" t="b">
        <v>0</v>
      </c>
      <c r="AH7" t="s">
        <v>107</v>
      </c>
      <c r="AI7" t="s">
        <v>107</v>
      </c>
      <c r="AJ7" t="s">
        <v>109</v>
      </c>
      <c r="AL7">
        <v>1</v>
      </c>
      <c r="AM7">
        <v>1</v>
      </c>
      <c r="AN7" t="s">
        <v>120</v>
      </c>
      <c r="AO7" t="s">
        <v>121</v>
      </c>
      <c r="AP7" t="s">
        <v>113</v>
      </c>
      <c r="AQ7" s="5">
        <v>1</v>
      </c>
      <c r="AU7" t="s">
        <v>115</v>
      </c>
      <c r="AV7" t="str">
        <f>IF(OR(AT7="",AT7="null"),AX7,AT7)</f>
        <v>USD</v>
      </c>
      <c r="AW7" t="s">
        <v>115</v>
      </c>
      <c r="AX7" t="s">
        <v>115</v>
      </c>
      <c r="AY7" t="s">
        <v>116</v>
      </c>
      <c r="AZ7">
        <v>10</v>
      </c>
      <c r="BA7">
        <v>20</v>
      </c>
      <c r="BB7">
        <v>20</v>
      </c>
      <c r="BC7">
        <v>10</v>
      </c>
      <c r="BD7">
        <v>10</v>
      </c>
      <c r="BE7">
        <v>10</v>
      </c>
      <c r="BF7">
        <v>1</v>
      </c>
      <c r="BG7" t="s">
        <v>118</v>
      </c>
      <c r="BH7" t="s">
        <v>119</v>
      </c>
      <c r="BI7" t="b">
        <v>1</v>
      </c>
      <c r="BJ7">
        <v>0</v>
      </c>
      <c r="BK7">
        <v>0</v>
      </c>
      <c r="BL7" t="s">
        <v>115</v>
      </c>
      <c r="BM7" t="s">
        <v>115</v>
      </c>
      <c r="BO7">
        <v>980316320.15999997</v>
      </c>
      <c r="BQ7">
        <v>0</v>
      </c>
      <c r="BR7">
        <v>0</v>
      </c>
      <c r="BS7">
        <v>100000001</v>
      </c>
      <c r="BT7" t="s">
        <v>123</v>
      </c>
    </row>
    <row r="8" spans="1:72" x14ac:dyDescent="0.25">
      <c r="A8" s="5">
        <v>45838</v>
      </c>
      <c r="B8" t="s">
        <v>95</v>
      </c>
      <c r="C8">
        <v>12</v>
      </c>
      <c r="D8">
        <v>100000001</v>
      </c>
      <c r="E8">
        <v>2</v>
      </c>
      <c r="F8">
        <v>2</v>
      </c>
      <c r="G8" t="s">
        <v>96</v>
      </c>
      <c r="H8" t="s">
        <v>97</v>
      </c>
      <c r="I8">
        <v>15</v>
      </c>
      <c r="J8">
        <v>163186</v>
      </c>
      <c r="K8">
        <v>27195684</v>
      </c>
      <c r="L8" t="s">
        <v>98</v>
      </c>
      <c r="M8">
        <v>2</v>
      </c>
      <c r="N8" s="3" t="s">
        <v>129</v>
      </c>
      <c r="O8">
        <v>1</v>
      </c>
      <c r="P8">
        <v>2</v>
      </c>
      <c r="Q8">
        <v>5</v>
      </c>
      <c r="R8">
        <v>0</v>
      </c>
      <c r="S8">
        <v>5</v>
      </c>
      <c r="T8" t="s">
        <v>100</v>
      </c>
      <c r="U8" t="s">
        <v>101</v>
      </c>
      <c r="V8">
        <v>329183012</v>
      </c>
      <c r="W8" t="str">
        <f t="shared" si="0"/>
        <v>Security 7</v>
      </c>
      <c r="X8" t="s">
        <v>106</v>
      </c>
      <c r="Y8" t="s">
        <v>107</v>
      </c>
      <c r="Z8" t="s">
        <v>96</v>
      </c>
      <c r="AA8" t="s">
        <v>107</v>
      </c>
      <c r="AB8" t="s">
        <v>107</v>
      </c>
      <c r="AC8" t="s">
        <v>107</v>
      </c>
      <c r="AD8" t="s">
        <v>96</v>
      </c>
      <c r="AE8" t="s">
        <v>96</v>
      </c>
      <c r="AF8" t="s">
        <v>108</v>
      </c>
      <c r="AG8" t="b">
        <v>0</v>
      </c>
      <c r="AH8" t="s">
        <v>96</v>
      </c>
      <c r="AI8" t="s">
        <v>107</v>
      </c>
      <c r="AJ8" t="s">
        <v>109</v>
      </c>
      <c r="AL8">
        <v>1</v>
      </c>
      <c r="AM8">
        <v>0.25</v>
      </c>
      <c r="AN8" t="s">
        <v>111</v>
      </c>
      <c r="AO8" t="s">
        <v>112</v>
      </c>
      <c r="AP8" t="s">
        <v>113</v>
      </c>
      <c r="AQ8" s="5">
        <v>1</v>
      </c>
      <c r="AS8" t="s">
        <v>115</v>
      </c>
      <c r="AT8" t="s">
        <v>115</v>
      </c>
      <c r="AV8" t="str">
        <f>IF(OR(AT8="",AT8="null"),AX8,AT8)</f>
        <v>USD</v>
      </c>
      <c r="AW8" t="s">
        <v>115</v>
      </c>
      <c r="AY8" t="s">
        <v>116</v>
      </c>
      <c r="AZ8">
        <v>10</v>
      </c>
      <c r="BA8">
        <v>20</v>
      </c>
      <c r="BB8">
        <v>20</v>
      </c>
      <c r="BC8">
        <v>10</v>
      </c>
      <c r="BD8">
        <v>10</v>
      </c>
      <c r="BE8">
        <v>10</v>
      </c>
      <c r="BF8">
        <v>1</v>
      </c>
      <c r="BG8" t="s">
        <v>118</v>
      </c>
      <c r="BH8" t="s">
        <v>119</v>
      </c>
      <c r="BI8" t="b">
        <v>1</v>
      </c>
      <c r="BJ8">
        <v>1</v>
      </c>
      <c r="BK8">
        <v>1</v>
      </c>
      <c r="BM8" t="s">
        <v>115</v>
      </c>
      <c r="BN8">
        <v>50000</v>
      </c>
      <c r="BP8" s="7">
        <v>12396987.9</v>
      </c>
      <c r="BQ8">
        <v>10</v>
      </c>
      <c r="BR8">
        <v>20</v>
      </c>
      <c r="BS8">
        <v>100000002</v>
      </c>
      <c r="BT8" t="s">
        <v>125</v>
      </c>
    </row>
    <row r="9" spans="1:72" x14ac:dyDescent="0.25">
      <c r="A9" s="5">
        <v>45838</v>
      </c>
      <c r="B9" t="s">
        <v>95</v>
      </c>
      <c r="C9">
        <v>12</v>
      </c>
      <c r="D9">
        <v>100000001</v>
      </c>
      <c r="E9">
        <v>2</v>
      </c>
      <c r="F9">
        <v>2</v>
      </c>
      <c r="G9" t="s">
        <v>96</v>
      </c>
      <c r="H9" t="s">
        <v>97</v>
      </c>
      <c r="I9">
        <v>15</v>
      </c>
      <c r="J9">
        <v>163186</v>
      </c>
      <c r="K9">
        <v>60317825</v>
      </c>
      <c r="L9" t="s">
        <v>98</v>
      </c>
      <c r="M9">
        <v>2</v>
      </c>
      <c r="N9" s="3" t="s">
        <v>129</v>
      </c>
      <c r="O9">
        <v>1</v>
      </c>
      <c r="P9">
        <v>2</v>
      </c>
      <c r="Q9">
        <v>5</v>
      </c>
      <c r="R9">
        <v>0</v>
      </c>
      <c r="S9">
        <v>5</v>
      </c>
      <c r="T9" t="s">
        <v>100</v>
      </c>
      <c r="U9" t="s">
        <v>101</v>
      </c>
      <c r="V9">
        <v>132491244</v>
      </c>
      <c r="W9" t="str">
        <f t="shared" si="0"/>
        <v>Security 8</v>
      </c>
      <c r="X9" t="s">
        <v>106</v>
      </c>
      <c r="Y9" t="s">
        <v>107</v>
      </c>
      <c r="Z9" t="s">
        <v>96</v>
      </c>
      <c r="AA9" t="s">
        <v>107</v>
      </c>
      <c r="AB9" t="s">
        <v>107</v>
      </c>
      <c r="AC9" t="s">
        <v>107</v>
      </c>
      <c r="AD9" t="s">
        <v>96</v>
      </c>
      <c r="AE9" t="s">
        <v>96</v>
      </c>
      <c r="AF9" t="s">
        <v>108</v>
      </c>
      <c r="AG9" t="b">
        <v>0</v>
      </c>
      <c r="AH9" t="s">
        <v>96</v>
      </c>
      <c r="AI9" t="s">
        <v>107</v>
      </c>
      <c r="AJ9" t="s">
        <v>109</v>
      </c>
      <c r="AL9">
        <v>1</v>
      </c>
      <c r="AM9">
        <v>0.15</v>
      </c>
      <c r="AN9" t="s">
        <v>111</v>
      </c>
      <c r="AO9" t="s">
        <v>112</v>
      </c>
      <c r="AP9" t="s">
        <v>113</v>
      </c>
      <c r="AQ9" s="5">
        <v>1</v>
      </c>
      <c r="AS9" t="s">
        <v>115</v>
      </c>
      <c r="AT9" t="s">
        <v>115</v>
      </c>
      <c r="AV9" t="str">
        <f t="shared" ref="AV9:AV12" si="2">IF(OR(AT9="",AT9="null"),AX9,AT9)</f>
        <v>USD</v>
      </c>
      <c r="AW9" t="s">
        <v>115</v>
      </c>
      <c r="AY9" t="s">
        <v>116</v>
      </c>
      <c r="AZ9">
        <v>10</v>
      </c>
      <c r="BA9">
        <v>20</v>
      </c>
      <c r="BB9">
        <v>20</v>
      </c>
      <c r="BC9">
        <v>10</v>
      </c>
      <c r="BD9">
        <v>10</v>
      </c>
      <c r="BE9">
        <v>10</v>
      </c>
      <c r="BF9">
        <v>1</v>
      </c>
      <c r="BG9" t="s">
        <v>118</v>
      </c>
      <c r="BH9" t="s">
        <v>119</v>
      </c>
      <c r="BI9" t="b">
        <v>1</v>
      </c>
      <c r="BJ9">
        <v>1</v>
      </c>
      <c r="BK9">
        <v>1</v>
      </c>
      <c r="BM9" t="s">
        <v>115</v>
      </c>
      <c r="BN9">
        <v>119912</v>
      </c>
      <c r="BP9" s="7">
        <v>11103288</v>
      </c>
      <c r="BQ9">
        <v>10</v>
      </c>
      <c r="BR9">
        <v>20</v>
      </c>
      <c r="BS9">
        <v>100000002</v>
      </c>
      <c r="BT9" t="s">
        <v>125</v>
      </c>
    </row>
    <row r="10" spans="1:72" x14ac:dyDescent="0.25">
      <c r="A10" s="5">
        <v>45838</v>
      </c>
      <c r="B10" t="s">
        <v>95</v>
      </c>
      <c r="C10">
        <v>12</v>
      </c>
      <c r="D10">
        <v>100000001</v>
      </c>
      <c r="E10">
        <v>2</v>
      </c>
      <c r="F10">
        <v>2</v>
      </c>
      <c r="G10" t="s">
        <v>96</v>
      </c>
      <c r="H10" t="s">
        <v>97</v>
      </c>
      <c r="I10">
        <v>15</v>
      </c>
      <c r="J10">
        <v>163186</v>
      </c>
      <c r="K10">
        <v>84051763</v>
      </c>
      <c r="L10" t="s">
        <v>98</v>
      </c>
      <c r="M10">
        <v>2</v>
      </c>
      <c r="N10" s="3" t="s">
        <v>129</v>
      </c>
      <c r="O10">
        <v>1</v>
      </c>
      <c r="P10">
        <v>2</v>
      </c>
      <c r="Q10">
        <v>5</v>
      </c>
      <c r="R10">
        <v>0</v>
      </c>
      <c r="S10">
        <v>5</v>
      </c>
      <c r="T10" t="s">
        <v>100</v>
      </c>
      <c r="U10" t="s">
        <v>101</v>
      </c>
      <c r="V10">
        <v>132895157</v>
      </c>
      <c r="W10" t="str">
        <f t="shared" si="0"/>
        <v>Security 9</v>
      </c>
      <c r="X10" t="s">
        <v>106</v>
      </c>
      <c r="Y10" t="s">
        <v>107</v>
      </c>
      <c r="Z10" t="s">
        <v>96</v>
      </c>
      <c r="AA10" t="s">
        <v>107</v>
      </c>
      <c r="AB10" t="s">
        <v>107</v>
      </c>
      <c r="AC10" t="s">
        <v>107</v>
      </c>
      <c r="AD10" t="s">
        <v>96</v>
      </c>
      <c r="AE10" t="s">
        <v>96</v>
      </c>
      <c r="AF10" t="s">
        <v>108</v>
      </c>
      <c r="AG10" t="b">
        <v>0</v>
      </c>
      <c r="AH10" t="s">
        <v>96</v>
      </c>
      <c r="AI10" t="s">
        <v>107</v>
      </c>
      <c r="AJ10" t="s">
        <v>109</v>
      </c>
      <c r="AK10" t="s">
        <v>110</v>
      </c>
      <c r="AL10">
        <v>1</v>
      </c>
      <c r="AM10">
        <v>0.15</v>
      </c>
      <c r="AN10" t="s">
        <v>111</v>
      </c>
      <c r="AO10" t="s">
        <v>112</v>
      </c>
      <c r="AP10" t="s">
        <v>113</v>
      </c>
      <c r="AQ10" s="5">
        <v>1</v>
      </c>
      <c r="AS10" t="s">
        <v>115</v>
      </c>
      <c r="AT10" t="s">
        <v>115</v>
      </c>
      <c r="AV10" t="str">
        <f t="shared" si="2"/>
        <v>USD</v>
      </c>
      <c r="AW10" t="s">
        <v>115</v>
      </c>
      <c r="AY10" t="s">
        <v>117</v>
      </c>
      <c r="AZ10">
        <v>10</v>
      </c>
      <c r="BA10">
        <v>20</v>
      </c>
      <c r="BB10">
        <v>20</v>
      </c>
      <c r="BC10">
        <v>10</v>
      </c>
      <c r="BD10">
        <v>10</v>
      </c>
      <c r="BE10">
        <v>10</v>
      </c>
      <c r="BF10">
        <v>1</v>
      </c>
      <c r="BG10" t="s">
        <v>118</v>
      </c>
      <c r="BH10" t="s">
        <v>119</v>
      </c>
      <c r="BI10" t="b">
        <v>1</v>
      </c>
      <c r="BJ10">
        <v>1</v>
      </c>
      <c r="BK10">
        <v>1</v>
      </c>
      <c r="BL10" t="s">
        <v>115</v>
      </c>
      <c r="BN10">
        <v>129819</v>
      </c>
      <c r="BP10" s="7">
        <v>15094847.359999999</v>
      </c>
      <c r="BQ10">
        <v>10</v>
      </c>
      <c r="BR10">
        <v>20</v>
      </c>
      <c r="BS10">
        <v>100000002</v>
      </c>
      <c r="BT10" t="s">
        <v>125</v>
      </c>
    </row>
    <row r="11" spans="1:72" x14ac:dyDescent="0.25">
      <c r="A11" s="5">
        <v>45838</v>
      </c>
      <c r="B11" t="s">
        <v>95</v>
      </c>
      <c r="C11">
        <v>12</v>
      </c>
      <c r="D11">
        <v>100000001</v>
      </c>
      <c r="E11">
        <v>2</v>
      </c>
      <c r="F11">
        <v>2</v>
      </c>
      <c r="G11" t="s">
        <v>96</v>
      </c>
      <c r="H11" t="s">
        <v>97</v>
      </c>
      <c r="I11">
        <v>15</v>
      </c>
      <c r="J11">
        <v>163186</v>
      </c>
      <c r="K11">
        <v>35946217</v>
      </c>
      <c r="L11" t="s">
        <v>98</v>
      </c>
      <c r="M11">
        <v>2</v>
      </c>
      <c r="N11" s="3" t="s">
        <v>129</v>
      </c>
      <c r="O11">
        <v>1</v>
      </c>
      <c r="P11">
        <v>2</v>
      </c>
      <c r="Q11">
        <v>5</v>
      </c>
      <c r="R11">
        <v>0</v>
      </c>
      <c r="S11">
        <v>5</v>
      </c>
      <c r="T11" t="s">
        <v>100</v>
      </c>
      <c r="U11" t="s">
        <v>101</v>
      </c>
      <c r="V11">
        <v>149719047</v>
      </c>
      <c r="W11" t="str">
        <f t="shared" si="0"/>
        <v>Security 10</v>
      </c>
      <c r="X11" t="s">
        <v>106</v>
      </c>
      <c r="Y11" t="s">
        <v>107</v>
      </c>
      <c r="Z11" t="s">
        <v>96</v>
      </c>
      <c r="AA11" t="s">
        <v>107</v>
      </c>
      <c r="AB11" t="s">
        <v>107</v>
      </c>
      <c r="AC11" t="s">
        <v>107</v>
      </c>
      <c r="AD11" t="s">
        <v>96</v>
      </c>
      <c r="AE11" t="s">
        <v>96</v>
      </c>
      <c r="AF11" t="s">
        <v>108</v>
      </c>
      <c r="AG11" t="b">
        <v>0</v>
      </c>
      <c r="AH11" t="s">
        <v>96</v>
      </c>
      <c r="AI11" t="s">
        <v>107</v>
      </c>
      <c r="AJ11" t="s">
        <v>109</v>
      </c>
      <c r="AL11">
        <v>1</v>
      </c>
      <c r="AM11">
        <v>0.25</v>
      </c>
      <c r="AN11" t="s">
        <v>111</v>
      </c>
      <c r="AO11" t="s">
        <v>112</v>
      </c>
      <c r="AP11" t="s">
        <v>113</v>
      </c>
      <c r="AQ11" s="5">
        <v>1</v>
      </c>
      <c r="AS11" t="s">
        <v>115</v>
      </c>
      <c r="AT11" t="s">
        <v>115</v>
      </c>
      <c r="AV11" t="str">
        <f t="shared" si="2"/>
        <v>USD</v>
      </c>
      <c r="AW11" t="s">
        <v>115</v>
      </c>
      <c r="AY11" t="s">
        <v>117</v>
      </c>
      <c r="AZ11">
        <v>10</v>
      </c>
      <c r="BA11">
        <v>20</v>
      </c>
      <c r="BB11">
        <v>20</v>
      </c>
      <c r="BC11">
        <v>10</v>
      </c>
      <c r="BD11">
        <v>10</v>
      </c>
      <c r="BE11">
        <v>10</v>
      </c>
      <c r="BF11">
        <v>1</v>
      </c>
      <c r="BG11" t="s">
        <v>118</v>
      </c>
      <c r="BH11" t="s">
        <v>119</v>
      </c>
      <c r="BI11" t="b">
        <v>1</v>
      </c>
      <c r="BJ11">
        <v>1</v>
      </c>
      <c r="BK11">
        <v>1</v>
      </c>
      <c r="BL11" t="s">
        <v>115</v>
      </c>
      <c r="BN11">
        <v>21124</v>
      </c>
      <c r="BP11" s="7">
        <v>5849007.2999999998</v>
      </c>
      <c r="BQ11">
        <v>10</v>
      </c>
      <c r="BR11">
        <v>20</v>
      </c>
      <c r="BS11">
        <v>100000002</v>
      </c>
      <c r="BT11" t="s">
        <v>125</v>
      </c>
    </row>
    <row r="12" spans="1:72" x14ac:dyDescent="0.25">
      <c r="A12" s="5">
        <v>45838</v>
      </c>
      <c r="B12" t="s">
        <v>95</v>
      </c>
      <c r="C12">
        <v>12</v>
      </c>
      <c r="D12">
        <v>100000001</v>
      </c>
      <c r="E12">
        <v>2</v>
      </c>
      <c r="F12">
        <v>2</v>
      </c>
      <c r="G12" t="s">
        <v>96</v>
      </c>
      <c r="H12" t="s">
        <v>97</v>
      </c>
      <c r="I12">
        <v>15</v>
      </c>
      <c r="J12">
        <v>163186</v>
      </c>
      <c r="K12">
        <v>74268109</v>
      </c>
      <c r="L12" t="s">
        <v>98</v>
      </c>
      <c r="M12">
        <v>2</v>
      </c>
      <c r="N12" s="3" t="s">
        <v>129</v>
      </c>
      <c r="O12">
        <v>1</v>
      </c>
      <c r="P12">
        <v>2</v>
      </c>
      <c r="Q12">
        <v>0</v>
      </c>
      <c r="R12">
        <v>0</v>
      </c>
      <c r="S12">
        <v>0</v>
      </c>
      <c r="U12" t="s">
        <v>101</v>
      </c>
      <c r="V12" t="s">
        <v>130</v>
      </c>
      <c r="W12" t="str">
        <f t="shared" si="0"/>
        <v>Security 11</v>
      </c>
      <c r="X12" t="s">
        <v>106</v>
      </c>
      <c r="Y12" t="s">
        <v>107</v>
      </c>
      <c r="Z12" t="s">
        <v>96</v>
      </c>
      <c r="AA12" t="s">
        <v>107</v>
      </c>
      <c r="AB12" t="s">
        <v>107</v>
      </c>
      <c r="AC12" t="s">
        <v>107</v>
      </c>
      <c r="AD12" t="s">
        <v>96</v>
      </c>
      <c r="AE12" t="s">
        <v>96</v>
      </c>
      <c r="AF12" t="s">
        <v>108</v>
      </c>
      <c r="AG12" t="b">
        <v>0</v>
      </c>
      <c r="AH12" t="s">
        <v>107</v>
      </c>
      <c r="AI12" t="s">
        <v>107</v>
      </c>
      <c r="AJ12" t="s">
        <v>109</v>
      </c>
      <c r="AL12">
        <v>1</v>
      </c>
      <c r="AM12">
        <v>0.25</v>
      </c>
      <c r="AN12" t="s">
        <v>111</v>
      </c>
      <c r="AO12" t="s">
        <v>112</v>
      </c>
      <c r="AP12" t="s">
        <v>113</v>
      </c>
      <c r="AQ12" s="5">
        <v>1</v>
      </c>
      <c r="AS12" t="s">
        <v>115</v>
      </c>
      <c r="AT12" t="s">
        <v>115</v>
      </c>
      <c r="AV12" t="str">
        <f t="shared" si="2"/>
        <v>USD</v>
      </c>
      <c r="AW12" t="s">
        <v>115</v>
      </c>
      <c r="AY12" t="s">
        <v>116</v>
      </c>
      <c r="AZ12">
        <v>10</v>
      </c>
      <c r="BA12">
        <v>20</v>
      </c>
      <c r="BB12">
        <v>20</v>
      </c>
      <c r="BC12">
        <v>10</v>
      </c>
      <c r="BD12">
        <v>10</v>
      </c>
      <c r="BE12">
        <v>10</v>
      </c>
      <c r="BF12">
        <v>1</v>
      </c>
      <c r="BG12" t="s">
        <v>118</v>
      </c>
      <c r="BH12" t="s">
        <v>119</v>
      </c>
      <c r="BI12" t="b">
        <v>1</v>
      </c>
      <c r="BJ12">
        <v>0</v>
      </c>
      <c r="BK12">
        <v>0</v>
      </c>
      <c r="BM12" t="s">
        <v>115</v>
      </c>
      <c r="BN12">
        <v>15332</v>
      </c>
      <c r="BP12" s="7">
        <v>791811.3</v>
      </c>
      <c r="BQ12">
        <v>0</v>
      </c>
      <c r="BR12">
        <v>0</v>
      </c>
      <c r="BS12">
        <v>100000002</v>
      </c>
      <c r="BT12" t="s">
        <v>125</v>
      </c>
    </row>
    <row r="13" spans="1:72" x14ac:dyDescent="0.25">
      <c r="A13" s="5">
        <v>45838</v>
      </c>
      <c r="B13" t="s">
        <v>95</v>
      </c>
      <c r="C13">
        <v>12</v>
      </c>
      <c r="D13">
        <v>100000001</v>
      </c>
      <c r="E13">
        <v>2</v>
      </c>
      <c r="F13">
        <v>2</v>
      </c>
      <c r="G13" t="s">
        <v>96</v>
      </c>
      <c r="H13" t="s">
        <v>97</v>
      </c>
      <c r="I13">
        <v>15</v>
      </c>
      <c r="J13">
        <v>163186</v>
      </c>
      <c r="K13">
        <v>10835642</v>
      </c>
      <c r="L13" t="s">
        <v>98</v>
      </c>
      <c r="M13">
        <v>2</v>
      </c>
      <c r="N13" s="3" t="s">
        <v>129</v>
      </c>
      <c r="O13">
        <v>1</v>
      </c>
      <c r="P13">
        <v>2</v>
      </c>
      <c r="Q13">
        <v>5</v>
      </c>
      <c r="R13">
        <v>0</v>
      </c>
      <c r="S13">
        <v>5</v>
      </c>
      <c r="T13" t="s">
        <v>100</v>
      </c>
      <c r="U13" t="s">
        <v>101</v>
      </c>
      <c r="V13" t="s">
        <v>131</v>
      </c>
      <c r="W13" t="str">
        <f t="shared" si="0"/>
        <v>Security 12</v>
      </c>
      <c r="X13" t="s">
        <v>106</v>
      </c>
      <c r="Y13" t="s">
        <v>107</v>
      </c>
      <c r="Z13" t="s">
        <v>96</v>
      </c>
      <c r="AA13" t="s">
        <v>107</v>
      </c>
      <c r="AB13" t="s">
        <v>107</v>
      </c>
      <c r="AC13" t="s">
        <v>107</v>
      </c>
      <c r="AD13" t="s">
        <v>96</v>
      </c>
      <c r="AE13" t="s">
        <v>96</v>
      </c>
      <c r="AF13" t="s">
        <v>108</v>
      </c>
      <c r="AG13" t="b">
        <v>0</v>
      </c>
      <c r="AH13" t="s">
        <v>96</v>
      </c>
      <c r="AI13" t="s">
        <v>107</v>
      </c>
      <c r="AJ13" t="s">
        <v>109</v>
      </c>
      <c r="AL13">
        <v>1</v>
      </c>
      <c r="AM13">
        <v>0.15</v>
      </c>
      <c r="AN13" t="s">
        <v>111</v>
      </c>
      <c r="AO13" t="s">
        <v>112</v>
      </c>
      <c r="AP13" t="s">
        <v>113</v>
      </c>
      <c r="AQ13" s="5">
        <v>1</v>
      </c>
      <c r="AS13" t="s">
        <v>115</v>
      </c>
      <c r="AT13" t="s">
        <v>115</v>
      </c>
      <c r="AV13" t="str">
        <f>IF(OR(AT13="",AT13="null"),AX13,AT13)</f>
        <v>USD</v>
      </c>
      <c r="AW13" t="s">
        <v>115</v>
      </c>
      <c r="AY13" t="s">
        <v>117</v>
      </c>
      <c r="AZ13">
        <v>10</v>
      </c>
      <c r="BA13">
        <v>20</v>
      </c>
      <c r="BB13">
        <v>20</v>
      </c>
      <c r="BC13">
        <v>10</v>
      </c>
      <c r="BD13">
        <v>10</v>
      </c>
      <c r="BE13">
        <v>10</v>
      </c>
      <c r="BF13">
        <v>1</v>
      </c>
      <c r="BG13" t="s">
        <v>118</v>
      </c>
      <c r="BH13" t="s">
        <v>119</v>
      </c>
      <c r="BI13" t="b">
        <v>1</v>
      </c>
      <c r="BJ13">
        <v>1</v>
      </c>
      <c r="BK13">
        <v>1</v>
      </c>
      <c r="BL13" t="s">
        <v>115</v>
      </c>
      <c r="BN13">
        <v>41242</v>
      </c>
      <c r="BP13" s="7">
        <v>3764749</v>
      </c>
      <c r="BQ13">
        <v>10</v>
      </c>
      <c r="BR13">
        <v>20</v>
      </c>
      <c r="BS13">
        <v>100000002</v>
      </c>
      <c r="BT13" t="s">
        <v>125</v>
      </c>
    </row>
    <row r="14" spans="1:72" x14ac:dyDescent="0.25">
      <c r="A14" s="5">
        <v>45838</v>
      </c>
      <c r="B14" t="s">
        <v>95</v>
      </c>
      <c r="C14">
        <v>12</v>
      </c>
      <c r="D14">
        <v>100000001</v>
      </c>
      <c r="E14">
        <v>2</v>
      </c>
      <c r="F14">
        <v>2</v>
      </c>
      <c r="G14" t="s">
        <v>96</v>
      </c>
      <c r="H14" t="s">
        <v>97</v>
      </c>
      <c r="I14">
        <v>15</v>
      </c>
      <c r="J14">
        <v>163186</v>
      </c>
      <c r="K14">
        <v>56721483</v>
      </c>
      <c r="L14" t="s">
        <v>98</v>
      </c>
      <c r="M14">
        <v>2</v>
      </c>
      <c r="N14" s="3" t="s">
        <v>129</v>
      </c>
      <c r="O14">
        <v>1</v>
      </c>
      <c r="P14">
        <v>2</v>
      </c>
      <c r="Q14">
        <v>5</v>
      </c>
      <c r="R14">
        <v>0</v>
      </c>
      <c r="S14">
        <v>5</v>
      </c>
      <c r="T14" t="s">
        <v>100</v>
      </c>
      <c r="U14" t="s">
        <v>101</v>
      </c>
      <c r="V14">
        <v>128391975</v>
      </c>
      <c r="W14" t="str">
        <f t="shared" si="0"/>
        <v>Security 13</v>
      </c>
      <c r="X14" t="s">
        <v>106</v>
      </c>
      <c r="Y14" t="s">
        <v>107</v>
      </c>
      <c r="Z14" t="s">
        <v>96</v>
      </c>
      <c r="AA14" t="s">
        <v>107</v>
      </c>
      <c r="AB14" t="s">
        <v>107</v>
      </c>
      <c r="AC14" t="s">
        <v>107</v>
      </c>
      <c r="AD14" t="s">
        <v>96</v>
      </c>
      <c r="AE14" t="s">
        <v>96</v>
      </c>
      <c r="AF14" t="s">
        <v>108</v>
      </c>
      <c r="AG14" t="b">
        <v>0</v>
      </c>
      <c r="AH14" t="s">
        <v>96</v>
      </c>
      <c r="AI14" t="s">
        <v>107</v>
      </c>
      <c r="AJ14" t="s">
        <v>109</v>
      </c>
      <c r="AL14">
        <v>1</v>
      </c>
      <c r="AM14">
        <v>0.15</v>
      </c>
      <c r="AN14" t="s">
        <v>111</v>
      </c>
      <c r="AO14" t="s">
        <v>112</v>
      </c>
      <c r="AP14" t="s">
        <v>113</v>
      </c>
      <c r="AQ14" s="5">
        <v>1</v>
      </c>
      <c r="AS14" t="s">
        <v>132</v>
      </c>
      <c r="AT14" t="s">
        <v>132</v>
      </c>
      <c r="AV14" t="str">
        <f>IF(OR(AT14="",AT14="null"),AX14,AT14)</f>
        <v>CAD</v>
      </c>
      <c r="AW14" t="s">
        <v>115</v>
      </c>
      <c r="AY14" t="s">
        <v>117</v>
      </c>
      <c r="AZ14">
        <v>10</v>
      </c>
      <c r="BA14">
        <v>20</v>
      </c>
      <c r="BB14">
        <v>20</v>
      </c>
      <c r="BC14">
        <v>10</v>
      </c>
      <c r="BD14">
        <v>10</v>
      </c>
      <c r="BE14">
        <v>10</v>
      </c>
      <c r="BF14">
        <v>1</v>
      </c>
      <c r="BG14" t="s">
        <v>118</v>
      </c>
      <c r="BH14" t="s">
        <v>119</v>
      </c>
      <c r="BI14" t="b">
        <v>1</v>
      </c>
      <c r="BJ14">
        <v>1</v>
      </c>
      <c r="BK14">
        <v>1</v>
      </c>
      <c r="BL14" t="s">
        <v>132</v>
      </c>
      <c r="BN14">
        <v>219839</v>
      </c>
      <c r="BP14" s="7">
        <v>22813134.66</v>
      </c>
      <c r="BQ14">
        <v>10</v>
      </c>
      <c r="BR14">
        <v>20</v>
      </c>
      <c r="BS14">
        <v>100000002</v>
      </c>
      <c r="BT14" t="s">
        <v>125</v>
      </c>
    </row>
    <row r="15" spans="1:72" x14ac:dyDescent="0.25">
      <c r="A15" s="5">
        <v>45838</v>
      </c>
      <c r="B15" t="s">
        <v>95</v>
      </c>
      <c r="C15">
        <v>12</v>
      </c>
      <c r="D15">
        <v>100000001</v>
      </c>
      <c r="E15">
        <v>3</v>
      </c>
      <c r="F15">
        <v>3</v>
      </c>
      <c r="G15" t="s">
        <v>96</v>
      </c>
      <c r="H15" t="s">
        <v>97</v>
      </c>
      <c r="I15">
        <v>15</v>
      </c>
      <c r="J15">
        <v>163186</v>
      </c>
      <c r="K15">
        <v>62084915</v>
      </c>
      <c r="L15" t="s">
        <v>98</v>
      </c>
      <c r="M15">
        <v>1</v>
      </c>
      <c r="N15" s="3" t="s">
        <v>99</v>
      </c>
      <c r="O15">
        <v>1</v>
      </c>
      <c r="P15">
        <v>2</v>
      </c>
      <c r="Q15">
        <v>5</v>
      </c>
      <c r="R15">
        <v>0</v>
      </c>
      <c r="S15">
        <v>5</v>
      </c>
      <c r="T15" t="s">
        <v>100</v>
      </c>
      <c r="U15" t="s">
        <v>101</v>
      </c>
      <c r="V15" t="s">
        <v>104</v>
      </c>
      <c r="W15" t="str">
        <f t="shared" si="0"/>
        <v>Security 14</v>
      </c>
      <c r="X15" t="s">
        <v>106</v>
      </c>
      <c r="Y15" t="s">
        <v>107</v>
      </c>
      <c r="Z15" t="s">
        <v>107</v>
      </c>
      <c r="AA15" t="s">
        <v>107</v>
      </c>
      <c r="AB15" t="s">
        <v>107</v>
      </c>
      <c r="AC15" t="s">
        <v>107</v>
      </c>
      <c r="AD15" t="s">
        <v>96</v>
      </c>
      <c r="AE15" t="s">
        <v>107</v>
      </c>
      <c r="AF15" t="s">
        <v>108</v>
      </c>
      <c r="AG15" t="b">
        <v>0</v>
      </c>
      <c r="AH15" t="s">
        <v>96</v>
      </c>
      <c r="AI15" t="s">
        <v>107</v>
      </c>
      <c r="AJ15" t="s">
        <v>109</v>
      </c>
      <c r="AL15">
        <v>1</v>
      </c>
      <c r="AM15">
        <v>0.25</v>
      </c>
      <c r="AN15" t="s">
        <v>111</v>
      </c>
      <c r="AO15" t="s">
        <v>112</v>
      </c>
      <c r="AP15" t="s">
        <v>113</v>
      </c>
      <c r="AQ15" s="5">
        <v>1</v>
      </c>
      <c r="AS15" t="s">
        <v>115</v>
      </c>
      <c r="AT15" t="s">
        <v>115</v>
      </c>
      <c r="AV15" t="str">
        <f t="shared" ref="AV15:AV18" si="3">IF(OR(AT15="",AT15="null"),AX15,AT15)</f>
        <v>USD</v>
      </c>
      <c r="AW15" t="s">
        <v>115</v>
      </c>
      <c r="AX15" t="s">
        <v>115</v>
      </c>
      <c r="AY15" t="s">
        <v>117</v>
      </c>
      <c r="AZ15">
        <v>20</v>
      </c>
      <c r="BA15">
        <v>20</v>
      </c>
      <c r="BB15">
        <v>20</v>
      </c>
      <c r="BC15">
        <v>10</v>
      </c>
      <c r="BD15">
        <v>10</v>
      </c>
      <c r="BE15">
        <v>20</v>
      </c>
      <c r="BF15">
        <v>1</v>
      </c>
      <c r="BG15" t="s">
        <v>118</v>
      </c>
      <c r="BH15" t="s">
        <v>134</v>
      </c>
      <c r="BI15" t="b">
        <v>1</v>
      </c>
      <c r="BJ15">
        <v>1</v>
      </c>
      <c r="BK15">
        <v>1</v>
      </c>
      <c r="BL15" t="s">
        <v>115</v>
      </c>
      <c r="BN15">
        <v>12394</v>
      </c>
      <c r="BP15" s="7">
        <v>304306.8</v>
      </c>
      <c r="BQ15">
        <v>10</v>
      </c>
      <c r="BR15">
        <v>20</v>
      </c>
      <c r="BS15">
        <v>100000003</v>
      </c>
      <c r="BT15" t="s">
        <v>126</v>
      </c>
    </row>
    <row r="16" spans="1:72" x14ac:dyDescent="0.25">
      <c r="A16" s="5">
        <v>45838</v>
      </c>
      <c r="B16" t="s">
        <v>95</v>
      </c>
      <c r="C16">
        <v>12</v>
      </c>
      <c r="D16">
        <v>100000001</v>
      </c>
      <c r="E16">
        <v>3</v>
      </c>
      <c r="F16">
        <v>3</v>
      </c>
      <c r="G16" t="s">
        <v>96</v>
      </c>
      <c r="H16" t="s">
        <v>97</v>
      </c>
      <c r="I16">
        <v>15</v>
      </c>
      <c r="J16">
        <v>163186</v>
      </c>
      <c r="K16">
        <v>25319760</v>
      </c>
      <c r="L16" t="s">
        <v>98</v>
      </c>
      <c r="M16">
        <v>1</v>
      </c>
      <c r="N16" s="3" t="s">
        <v>99</v>
      </c>
      <c r="O16">
        <v>1</v>
      </c>
      <c r="P16">
        <v>2</v>
      </c>
      <c r="Q16">
        <v>5</v>
      </c>
      <c r="R16">
        <v>0</v>
      </c>
      <c r="S16">
        <v>5</v>
      </c>
      <c r="T16" t="s">
        <v>100</v>
      </c>
      <c r="U16" t="s">
        <v>101</v>
      </c>
      <c r="V16">
        <v>294382048</v>
      </c>
      <c r="W16" t="str">
        <f t="shared" si="0"/>
        <v>Security 15</v>
      </c>
      <c r="X16" t="s">
        <v>106</v>
      </c>
      <c r="Y16" t="s">
        <v>107</v>
      </c>
      <c r="Z16" t="s">
        <v>107</v>
      </c>
      <c r="AA16" t="s">
        <v>107</v>
      </c>
      <c r="AB16" t="s">
        <v>107</v>
      </c>
      <c r="AC16" t="s">
        <v>107</v>
      </c>
      <c r="AD16" t="s">
        <v>96</v>
      </c>
      <c r="AE16" t="s">
        <v>107</v>
      </c>
      <c r="AF16" t="s">
        <v>108</v>
      </c>
      <c r="AG16" t="b">
        <v>0</v>
      </c>
      <c r="AH16" t="s">
        <v>96</v>
      </c>
      <c r="AI16" t="s">
        <v>107</v>
      </c>
      <c r="AJ16" t="s">
        <v>109</v>
      </c>
      <c r="AK16" t="s">
        <v>110</v>
      </c>
      <c r="AL16">
        <v>1</v>
      </c>
      <c r="AM16">
        <v>0.15</v>
      </c>
      <c r="AN16" t="s">
        <v>111</v>
      </c>
      <c r="AO16" t="s">
        <v>112</v>
      </c>
      <c r="AP16" t="s">
        <v>113</v>
      </c>
      <c r="AQ16" s="5">
        <v>1</v>
      </c>
      <c r="AS16" t="s">
        <v>133</v>
      </c>
      <c r="AT16" t="s">
        <v>133</v>
      </c>
      <c r="AV16" t="str">
        <f t="shared" si="3"/>
        <v>GBP</v>
      </c>
      <c r="AW16" t="s">
        <v>115</v>
      </c>
      <c r="AX16" t="s">
        <v>115</v>
      </c>
      <c r="AY16" t="s">
        <v>116</v>
      </c>
      <c r="AZ16">
        <v>20</v>
      </c>
      <c r="BA16">
        <v>20</v>
      </c>
      <c r="BB16">
        <v>20</v>
      </c>
      <c r="BC16">
        <v>10</v>
      </c>
      <c r="BD16">
        <v>10</v>
      </c>
      <c r="BE16">
        <v>20</v>
      </c>
      <c r="BF16">
        <v>1</v>
      </c>
      <c r="BG16" t="s">
        <v>118</v>
      </c>
      <c r="BH16" t="s">
        <v>134</v>
      </c>
      <c r="BI16" t="b">
        <v>1</v>
      </c>
      <c r="BJ16">
        <v>1</v>
      </c>
      <c r="BK16">
        <v>1</v>
      </c>
      <c r="BM16" t="s">
        <v>133</v>
      </c>
      <c r="BN16">
        <v>141251</v>
      </c>
      <c r="BP16" s="7">
        <v>4057479.94</v>
      </c>
      <c r="BQ16">
        <v>10</v>
      </c>
      <c r="BR16">
        <v>20</v>
      </c>
      <c r="BS16">
        <v>100000003</v>
      </c>
      <c r="BT16" t="s">
        <v>126</v>
      </c>
    </row>
    <row r="17" spans="1:72" x14ac:dyDescent="0.25">
      <c r="A17" s="5">
        <v>45838</v>
      </c>
      <c r="B17" t="s">
        <v>95</v>
      </c>
      <c r="C17">
        <v>12</v>
      </c>
      <c r="D17">
        <v>100000001</v>
      </c>
      <c r="E17">
        <v>3</v>
      </c>
      <c r="F17">
        <v>3</v>
      </c>
      <c r="G17" t="s">
        <v>96</v>
      </c>
      <c r="H17" t="s">
        <v>97</v>
      </c>
      <c r="I17">
        <v>15</v>
      </c>
      <c r="J17">
        <v>163186</v>
      </c>
      <c r="K17">
        <v>94186207</v>
      </c>
      <c r="L17" t="s">
        <v>98</v>
      </c>
      <c r="M17">
        <v>1</v>
      </c>
      <c r="N17" s="3" t="s">
        <v>99</v>
      </c>
      <c r="O17">
        <v>1</v>
      </c>
      <c r="P17">
        <v>2</v>
      </c>
      <c r="Q17">
        <v>5</v>
      </c>
      <c r="R17">
        <v>0</v>
      </c>
      <c r="S17">
        <v>5</v>
      </c>
      <c r="T17" t="s">
        <v>100</v>
      </c>
      <c r="U17" t="s">
        <v>101</v>
      </c>
      <c r="V17">
        <v>325892398</v>
      </c>
      <c r="W17" t="str">
        <f t="shared" si="0"/>
        <v>Security 16</v>
      </c>
      <c r="X17" t="s">
        <v>106</v>
      </c>
      <c r="Y17" t="s">
        <v>107</v>
      </c>
      <c r="Z17" t="s">
        <v>107</v>
      </c>
      <c r="AA17" t="s">
        <v>107</v>
      </c>
      <c r="AB17" t="s">
        <v>107</v>
      </c>
      <c r="AC17" t="s">
        <v>107</v>
      </c>
      <c r="AD17" t="s">
        <v>96</v>
      </c>
      <c r="AE17" t="s">
        <v>107</v>
      </c>
      <c r="AF17" t="s">
        <v>108</v>
      </c>
      <c r="AG17" t="b">
        <v>0</v>
      </c>
      <c r="AH17" t="s">
        <v>96</v>
      </c>
      <c r="AI17" t="s">
        <v>107</v>
      </c>
      <c r="AJ17" t="s">
        <v>109</v>
      </c>
      <c r="AL17">
        <v>1</v>
      </c>
      <c r="AM17">
        <v>0.25</v>
      </c>
      <c r="AN17" t="s">
        <v>111</v>
      </c>
      <c r="AO17" t="s">
        <v>112</v>
      </c>
      <c r="AP17" t="s">
        <v>113</v>
      </c>
      <c r="AQ17" s="5">
        <v>1</v>
      </c>
      <c r="AS17" t="s">
        <v>115</v>
      </c>
      <c r="AT17" t="s">
        <v>115</v>
      </c>
      <c r="AV17" t="str">
        <f t="shared" si="3"/>
        <v>USD</v>
      </c>
      <c r="AW17" t="s">
        <v>115</v>
      </c>
      <c r="AX17" t="s">
        <v>115</v>
      </c>
      <c r="AY17" t="s">
        <v>117</v>
      </c>
      <c r="AZ17">
        <v>20</v>
      </c>
      <c r="BA17">
        <v>20</v>
      </c>
      <c r="BB17">
        <v>20</v>
      </c>
      <c r="BC17">
        <v>10</v>
      </c>
      <c r="BD17">
        <v>10</v>
      </c>
      <c r="BE17">
        <v>20</v>
      </c>
      <c r="BF17">
        <v>1</v>
      </c>
      <c r="BG17" t="s">
        <v>118</v>
      </c>
      <c r="BH17" t="s">
        <v>134</v>
      </c>
      <c r="BI17" t="b">
        <v>1</v>
      </c>
      <c r="BJ17">
        <v>1</v>
      </c>
      <c r="BK17">
        <v>1</v>
      </c>
      <c r="BL17" t="s">
        <v>115</v>
      </c>
      <c r="BN17">
        <v>32321</v>
      </c>
      <c r="BP17" s="7">
        <v>81009437.280000001</v>
      </c>
      <c r="BQ17">
        <v>10</v>
      </c>
      <c r="BR17">
        <v>20</v>
      </c>
      <c r="BS17">
        <v>100000003</v>
      </c>
      <c r="BT17" t="s">
        <v>126</v>
      </c>
    </row>
    <row r="18" spans="1:72" x14ac:dyDescent="0.25">
      <c r="A18" s="5">
        <v>45838</v>
      </c>
      <c r="B18" t="s">
        <v>95</v>
      </c>
      <c r="C18">
        <v>12</v>
      </c>
      <c r="D18">
        <v>100000001</v>
      </c>
      <c r="E18">
        <v>3</v>
      </c>
      <c r="F18">
        <v>3</v>
      </c>
      <c r="G18" t="s">
        <v>96</v>
      </c>
      <c r="H18" t="s">
        <v>97</v>
      </c>
      <c r="I18">
        <v>15</v>
      </c>
      <c r="J18">
        <v>163186</v>
      </c>
      <c r="K18">
        <v>87452013</v>
      </c>
      <c r="L18" t="s">
        <v>98</v>
      </c>
      <c r="M18">
        <v>1</v>
      </c>
      <c r="N18" s="3" t="s">
        <v>99</v>
      </c>
      <c r="O18">
        <v>1</v>
      </c>
      <c r="P18">
        <v>2</v>
      </c>
      <c r="Q18">
        <v>5</v>
      </c>
      <c r="R18">
        <v>0</v>
      </c>
      <c r="S18">
        <v>5</v>
      </c>
      <c r="T18" t="s">
        <v>100</v>
      </c>
      <c r="U18" t="s">
        <v>101</v>
      </c>
      <c r="V18" t="s">
        <v>105</v>
      </c>
      <c r="W18" t="str">
        <f t="shared" si="0"/>
        <v>Security 17</v>
      </c>
      <c r="X18" t="s">
        <v>106</v>
      </c>
      <c r="Y18" t="s">
        <v>107</v>
      </c>
      <c r="Z18" t="s">
        <v>107</v>
      </c>
      <c r="AA18" t="s">
        <v>107</v>
      </c>
      <c r="AB18" t="s">
        <v>107</v>
      </c>
      <c r="AC18" t="s">
        <v>107</v>
      </c>
      <c r="AD18" t="s">
        <v>96</v>
      </c>
      <c r="AE18" t="s">
        <v>107</v>
      </c>
      <c r="AF18" t="s">
        <v>108</v>
      </c>
      <c r="AG18" t="b">
        <v>0</v>
      </c>
      <c r="AH18" t="s">
        <v>96</v>
      </c>
      <c r="AI18" t="s">
        <v>107</v>
      </c>
      <c r="AJ18" t="s">
        <v>109</v>
      </c>
      <c r="AL18">
        <v>1</v>
      </c>
      <c r="AM18">
        <v>0.15</v>
      </c>
      <c r="AN18" t="s">
        <v>111</v>
      </c>
      <c r="AO18" t="s">
        <v>112</v>
      </c>
      <c r="AP18" t="s">
        <v>113</v>
      </c>
      <c r="AQ18" s="5">
        <v>1</v>
      </c>
      <c r="AS18" t="s">
        <v>115</v>
      </c>
      <c r="AT18" t="s">
        <v>115</v>
      </c>
      <c r="AV18" t="str">
        <f t="shared" si="3"/>
        <v>USD</v>
      </c>
      <c r="AW18" t="s">
        <v>115</v>
      </c>
      <c r="AX18" t="s">
        <v>115</v>
      </c>
      <c r="AY18" t="s">
        <v>116</v>
      </c>
      <c r="AZ18">
        <v>20</v>
      </c>
      <c r="BA18">
        <v>20</v>
      </c>
      <c r="BB18">
        <v>20</v>
      </c>
      <c r="BC18">
        <v>10</v>
      </c>
      <c r="BD18">
        <v>10</v>
      </c>
      <c r="BE18">
        <v>20</v>
      </c>
      <c r="BF18">
        <v>1</v>
      </c>
      <c r="BG18" t="s">
        <v>118</v>
      </c>
      <c r="BH18" t="s">
        <v>134</v>
      </c>
      <c r="BI18" t="b">
        <v>1</v>
      </c>
      <c r="BJ18">
        <v>1</v>
      </c>
      <c r="BK18">
        <v>1</v>
      </c>
      <c r="BM18" t="s">
        <v>115</v>
      </c>
      <c r="BN18">
        <v>1351</v>
      </c>
      <c r="BP18" s="7">
        <v>8924661.7300000004</v>
      </c>
      <c r="BQ18">
        <v>10</v>
      </c>
      <c r="BR18">
        <v>20</v>
      </c>
      <c r="BS18">
        <v>100000003</v>
      </c>
      <c r="BT18" t="s">
        <v>126</v>
      </c>
    </row>
    <row r="19" spans="1:72" x14ac:dyDescent="0.25">
      <c r="A19" s="5">
        <v>45838</v>
      </c>
      <c r="B19" t="s">
        <v>95</v>
      </c>
      <c r="C19">
        <v>12</v>
      </c>
      <c r="D19">
        <v>100000001</v>
      </c>
      <c r="E19">
        <v>3</v>
      </c>
      <c r="F19">
        <v>3</v>
      </c>
      <c r="G19" t="s">
        <v>96</v>
      </c>
      <c r="H19" t="s">
        <v>97</v>
      </c>
      <c r="I19">
        <v>1</v>
      </c>
      <c r="J19">
        <v>163186</v>
      </c>
      <c r="K19">
        <v>31860794</v>
      </c>
      <c r="L19" t="s">
        <v>98</v>
      </c>
      <c r="M19">
        <v>1</v>
      </c>
      <c r="N19" s="3" t="s">
        <v>99</v>
      </c>
      <c r="O19">
        <v>1</v>
      </c>
      <c r="P19">
        <v>2</v>
      </c>
      <c r="Q19">
        <v>5</v>
      </c>
      <c r="R19">
        <v>0</v>
      </c>
      <c r="S19">
        <v>5</v>
      </c>
      <c r="T19" t="s">
        <v>100</v>
      </c>
      <c r="U19" t="s">
        <v>101</v>
      </c>
      <c r="W19" t="str">
        <f t="shared" si="0"/>
        <v>Security 18</v>
      </c>
      <c r="X19" t="s">
        <v>106</v>
      </c>
      <c r="Y19" t="s">
        <v>107</v>
      </c>
      <c r="Z19" t="s">
        <v>107</v>
      </c>
      <c r="AA19" t="s">
        <v>107</v>
      </c>
      <c r="AB19" t="s">
        <v>107</v>
      </c>
      <c r="AC19" t="s">
        <v>107</v>
      </c>
      <c r="AD19" t="s">
        <v>96</v>
      </c>
      <c r="AE19" t="s">
        <v>107</v>
      </c>
      <c r="AF19" t="s">
        <v>108</v>
      </c>
      <c r="AG19" t="b">
        <v>0</v>
      </c>
      <c r="AH19" t="s">
        <v>96</v>
      </c>
      <c r="AI19" t="s">
        <v>107</v>
      </c>
      <c r="AJ19" t="s">
        <v>109</v>
      </c>
      <c r="AL19">
        <v>1</v>
      </c>
      <c r="AM19">
        <v>0.15</v>
      </c>
      <c r="AN19" t="s">
        <v>111</v>
      </c>
      <c r="AO19" t="s">
        <v>112</v>
      </c>
      <c r="AP19" t="s">
        <v>113</v>
      </c>
      <c r="AQ19" s="5">
        <v>1</v>
      </c>
      <c r="AS19" t="s">
        <v>115</v>
      </c>
      <c r="AT19" t="s">
        <v>115</v>
      </c>
      <c r="AV19" t="str">
        <f>IF(OR(AT19="",AT19="null"),AX19,AT19)</f>
        <v>USD</v>
      </c>
      <c r="AW19" t="s">
        <v>115</v>
      </c>
      <c r="AX19" t="s">
        <v>115</v>
      </c>
      <c r="AY19" t="s">
        <v>117</v>
      </c>
      <c r="AZ19">
        <v>20</v>
      </c>
      <c r="BA19">
        <v>20</v>
      </c>
      <c r="BB19">
        <v>20</v>
      </c>
      <c r="BC19">
        <v>10</v>
      </c>
      <c r="BD19">
        <v>10</v>
      </c>
      <c r="BE19">
        <v>20</v>
      </c>
      <c r="BF19">
        <v>1</v>
      </c>
      <c r="BG19" t="s">
        <v>118</v>
      </c>
      <c r="BH19" t="s">
        <v>134</v>
      </c>
      <c r="BI19" t="b">
        <v>1</v>
      </c>
      <c r="BJ19">
        <v>0</v>
      </c>
      <c r="BK19">
        <v>0</v>
      </c>
      <c r="BL19" t="s">
        <v>115</v>
      </c>
      <c r="BN19">
        <v>1233</v>
      </c>
      <c r="BP19" s="7">
        <v>932727.68</v>
      </c>
      <c r="BQ19">
        <v>10</v>
      </c>
      <c r="BR19">
        <v>20</v>
      </c>
      <c r="BS19">
        <v>100000003</v>
      </c>
      <c r="BT19" t="s">
        <v>126</v>
      </c>
    </row>
    <row r="20" spans="1:72" x14ac:dyDescent="0.25">
      <c r="A20" s="5">
        <v>45838</v>
      </c>
      <c r="B20" t="s">
        <v>95</v>
      </c>
      <c r="C20">
        <v>12</v>
      </c>
      <c r="D20">
        <v>100000001</v>
      </c>
      <c r="E20">
        <v>4</v>
      </c>
      <c r="F20">
        <v>4</v>
      </c>
      <c r="G20" t="s">
        <v>96</v>
      </c>
      <c r="H20" t="s">
        <v>124</v>
      </c>
      <c r="I20">
        <v>1</v>
      </c>
      <c r="J20">
        <v>163186</v>
      </c>
      <c r="K20">
        <v>20517368</v>
      </c>
      <c r="L20" t="s">
        <v>98</v>
      </c>
      <c r="M20">
        <v>1</v>
      </c>
      <c r="N20" s="3" t="s">
        <v>99</v>
      </c>
      <c r="O20">
        <v>1</v>
      </c>
      <c r="P20">
        <v>2</v>
      </c>
      <c r="Q20">
        <v>5</v>
      </c>
      <c r="R20">
        <v>0</v>
      </c>
      <c r="S20">
        <v>5</v>
      </c>
      <c r="T20" t="s">
        <v>100</v>
      </c>
      <c r="U20" t="s">
        <v>101</v>
      </c>
      <c r="V20" t="s">
        <v>103</v>
      </c>
      <c r="W20" t="str">
        <f t="shared" si="0"/>
        <v>Security 19</v>
      </c>
      <c r="X20" t="s">
        <v>106</v>
      </c>
      <c r="Y20" t="s">
        <v>107</v>
      </c>
      <c r="Z20" t="s">
        <v>96</v>
      </c>
      <c r="AA20" t="s">
        <v>107</v>
      </c>
      <c r="AB20" t="s">
        <v>107</v>
      </c>
      <c r="AC20" t="s">
        <v>107</v>
      </c>
      <c r="AD20" t="s">
        <v>96</v>
      </c>
      <c r="AE20" t="s">
        <v>96</v>
      </c>
      <c r="AF20" t="s">
        <v>108</v>
      </c>
      <c r="AG20" t="b">
        <v>0</v>
      </c>
      <c r="AH20" t="s">
        <v>96</v>
      </c>
      <c r="AI20" t="s">
        <v>107</v>
      </c>
      <c r="AJ20" t="s">
        <v>109</v>
      </c>
      <c r="AL20">
        <v>1</v>
      </c>
      <c r="AM20">
        <v>0.25</v>
      </c>
      <c r="AN20" t="s">
        <v>111</v>
      </c>
      <c r="AO20" t="s">
        <v>112</v>
      </c>
      <c r="AP20" t="s">
        <v>113</v>
      </c>
      <c r="AQ20" s="5">
        <v>45839</v>
      </c>
      <c r="AR20" s="5">
        <v>45839</v>
      </c>
      <c r="AS20" t="s">
        <v>115</v>
      </c>
      <c r="AT20" t="s">
        <v>115</v>
      </c>
      <c r="AU20" t="s">
        <v>115</v>
      </c>
      <c r="AV20" t="str">
        <f>IF(OR(AT20="",AT20="null"),AX20,AT20)</f>
        <v>USD</v>
      </c>
      <c r="AW20" t="s">
        <v>115</v>
      </c>
      <c r="AX20" t="s">
        <v>115</v>
      </c>
      <c r="AY20" t="s">
        <v>116</v>
      </c>
      <c r="AZ20">
        <v>5</v>
      </c>
      <c r="BA20">
        <v>20</v>
      </c>
      <c r="BB20">
        <v>20</v>
      </c>
      <c r="BC20">
        <v>5</v>
      </c>
      <c r="BD20">
        <v>5</v>
      </c>
      <c r="BE20">
        <v>5</v>
      </c>
      <c r="BF20">
        <v>1</v>
      </c>
      <c r="BG20" t="s">
        <v>118</v>
      </c>
      <c r="BH20" t="s">
        <v>119</v>
      </c>
      <c r="BI20" t="b">
        <v>1</v>
      </c>
      <c r="BJ20">
        <v>1</v>
      </c>
      <c r="BK20">
        <v>1</v>
      </c>
      <c r="BL20" t="s">
        <v>115</v>
      </c>
      <c r="BM20" t="s">
        <v>115</v>
      </c>
      <c r="BN20">
        <v>18000</v>
      </c>
      <c r="BP20">
        <v>842383.03949999996</v>
      </c>
      <c r="BQ20">
        <v>5</v>
      </c>
      <c r="BR20">
        <v>20</v>
      </c>
      <c r="BS20">
        <v>100000004</v>
      </c>
      <c r="BT20" t="s">
        <v>127</v>
      </c>
    </row>
    <row r="21" spans="1:72" x14ac:dyDescent="0.25">
      <c r="A21" s="5">
        <v>45838</v>
      </c>
      <c r="B21" t="s">
        <v>95</v>
      </c>
      <c r="C21">
        <v>12</v>
      </c>
      <c r="D21">
        <v>100000001</v>
      </c>
      <c r="E21">
        <v>4</v>
      </c>
      <c r="F21">
        <v>4</v>
      </c>
      <c r="G21" t="s">
        <v>96</v>
      </c>
      <c r="H21" t="s">
        <v>124</v>
      </c>
      <c r="I21">
        <v>1</v>
      </c>
      <c r="J21">
        <v>163186</v>
      </c>
      <c r="K21">
        <v>78630251</v>
      </c>
      <c r="L21" t="s">
        <v>98</v>
      </c>
      <c r="M21">
        <v>1</v>
      </c>
      <c r="N21" s="3" t="s">
        <v>99</v>
      </c>
      <c r="O21">
        <v>1</v>
      </c>
      <c r="P21">
        <v>2</v>
      </c>
      <c r="Q21">
        <v>5</v>
      </c>
      <c r="R21">
        <v>0</v>
      </c>
      <c r="S21">
        <v>5</v>
      </c>
      <c r="T21" t="s">
        <v>100</v>
      </c>
      <c r="U21" t="s">
        <v>101</v>
      </c>
      <c r="V21" t="s">
        <v>104</v>
      </c>
      <c r="W21" t="str">
        <f t="shared" si="0"/>
        <v>Security 20</v>
      </c>
      <c r="X21" t="s">
        <v>106</v>
      </c>
      <c r="Y21" t="s">
        <v>107</v>
      </c>
      <c r="Z21" t="s">
        <v>96</v>
      </c>
      <c r="AA21" t="s">
        <v>107</v>
      </c>
      <c r="AB21" t="s">
        <v>107</v>
      </c>
      <c r="AC21" t="s">
        <v>107</v>
      </c>
      <c r="AD21" t="s">
        <v>96</v>
      </c>
      <c r="AE21" t="s">
        <v>96</v>
      </c>
      <c r="AF21" t="s">
        <v>108</v>
      </c>
      <c r="AG21" t="b">
        <v>0</v>
      </c>
      <c r="AH21" t="s">
        <v>96</v>
      </c>
      <c r="AI21" t="s">
        <v>107</v>
      </c>
      <c r="AJ21" t="s">
        <v>109</v>
      </c>
      <c r="AL21">
        <v>1</v>
      </c>
      <c r="AM21">
        <v>0.25</v>
      </c>
      <c r="AN21" t="s">
        <v>111</v>
      </c>
      <c r="AO21" t="s">
        <v>112</v>
      </c>
      <c r="AP21" t="s">
        <v>113</v>
      </c>
      <c r="AQ21" s="5">
        <v>45839</v>
      </c>
      <c r="AR21" s="5">
        <v>45839</v>
      </c>
      <c r="AS21" t="s">
        <v>115</v>
      </c>
      <c r="AT21" t="s">
        <v>115</v>
      </c>
      <c r="AU21" t="s">
        <v>115</v>
      </c>
      <c r="AV21" t="str">
        <f t="shared" ref="AV21:AV24" si="4">IF(OR(AT21="",AT21="null"),AX21,AT21)</f>
        <v>USD</v>
      </c>
      <c r="AW21" t="s">
        <v>115</v>
      </c>
      <c r="AX21" t="s">
        <v>115</v>
      </c>
      <c r="AY21" t="s">
        <v>117</v>
      </c>
      <c r="AZ21">
        <v>5</v>
      </c>
      <c r="BA21">
        <v>20</v>
      </c>
      <c r="BB21">
        <v>20</v>
      </c>
      <c r="BC21">
        <v>5</v>
      </c>
      <c r="BD21">
        <v>5</v>
      </c>
      <c r="BE21">
        <v>5</v>
      </c>
      <c r="BF21">
        <v>1</v>
      </c>
      <c r="BG21" t="s">
        <v>118</v>
      </c>
      <c r="BH21" t="s">
        <v>119</v>
      </c>
      <c r="BI21" t="b">
        <v>1</v>
      </c>
      <c r="BJ21">
        <v>1</v>
      </c>
      <c r="BK21">
        <v>1</v>
      </c>
      <c r="BL21" t="s">
        <v>115</v>
      </c>
      <c r="BM21" t="s">
        <v>115</v>
      </c>
      <c r="BN21">
        <v>8000</v>
      </c>
      <c r="BP21">
        <v>8693482.6610000003</v>
      </c>
      <c r="BQ21">
        <v>5</v>
      </c>
      <c r="BR21">
        <v>20</v>
      </c>
      <c r="BS21">
        <v>100000004</v>
      </c>
      <c r="BT21" t="s">
        <v>127</v>
      </c>
    </row>
    <row r="22" spans="1:72" x14ac:dyDescent="0.25">
      <c r="A22" s="5">
        <v>45838</v>
      </c>
      <c r="B22" t="s">
        <v>95</v>
      </c>
      <c r="C22">
        <v>12</v>
      </c>
      <c r="D22">
        <v>100000001</v>
      </c>
      <c r="E22">
        <v>4</v>
      </c>
      <c r="F22">
        <v>4</v>
      </c>
      <c r="G22" t="s">
        <v>96</v>
      </c>
      <c r="H22" t="s">
        <v>124</v>
      </c>
      <c r="I22">
        <v>1</v>
      </c>
      <c r="J22">
        <v>163186</v>
      </c>
      <c r="K22">
        <v>45918723</v>
      </c>
      <c r="L22" t="s">
        <v>98</v>
      </c>
      <c r="M22">
        <v>1</v>
      </c>
      <c r="N22" s="3" t="s">
        <v>99</v>
      </c>
      <c r="O22">
        <v>1</v>
      </c>
      <c r="P22">
        <v>2</v>
      </c>
      <c r="Q22">
        <v>5</v>
      </c>
      <c r="R22">
        <v>0</v>
      </c>
      <c r="S22">
        <v>5</v>
      </c>
      <c r="T22" t="s">
        <v>100</v>
      </c>
      <c r="U22" t="s">
        <v>101</v>
      </c>
      <c r="V22">
        <v>294382048</v>
      </c>
      <c r="W22" t="str">
        <f t="shared" si="0"/>
        <v>Security 21</v>
      </c>
      <c r="X22" t="s">
        <v>106</v>
      </c>
      <c r="Y22" t="s">
        <v>107</v>
      </c>
      <c r="Z22" t="s">
        <v>96</v>
      </c>
      <c r="AA22" t="s">
        <v>107</v>
      </c>
      <c r="AB22" t="s">
        <v>107</v>
      </c>
      <c r="AC22" t="s">
        <v>107</v>
      </c>
      <c r="AD22" t="s">
        <v>96</v>
      </c>
      <c r="AE22" t="s">
        <v>96</v>
      </c>
      <c r="AF22" t="s">
        <v>108</v>
      </c>
      <c r="AG22" t="b">
        <v>0</v>
      </c>
      <c r="AH22" t="s">
        <v>96</v>
      </c>
      <c r="AI22" t="s">
        <v>107</v>
      </c>
      <c r="AJ22" t="s">
        <v>109</v>
      </c>
      <c r="AK22" t="s">
        <v>110</v>
      </c>
      <c r="AL22">
        <v>1</v>
      </c>
      <c r="AM22">
        <v>0.25</v>
      </c>
      <c r="AN22" t="s">
        <v>111</v>
      </c>
      <c r="AO22" t="s">
        <v>112</v>
      </c>
      <c r="AP22" t="s">
        <v>113</v>
      </c>
      <c r="AQ22" s="5">
        <v>45839</v>
      </c>
      <c r="AR22" s="5">
        <v>45839</v>
      </c>
      <c r="AS22" t="s">
        <v>115</v>
      </c>
      <c r="AT22" t="s">
        <v>115</v>
      </c>
      <c r="AU22" t="s">
        <v>115</v>
      </c>
      <c r="AV22" t="str">
        <f t="shared" si="4"/>
        <v>USD</v>
      </c>
      <c r="AW22" t="s">
        <v>115</v>
      </c>
      <c r="AX22" t="s">
        <v>115</v>
      </c>
      <c r="AY22" t="s">
        <v>116</v>
      </c>
      <c r="AZ22">
        <v>5</v>
      </c>
      <c r="BA22">
        <v>20</v>
      </c>
      <c r="BB22">
        <v>20</v>
      </c>
      <c r="BC22">
        <v>5</v>
      </c>
      <c r="BD22">
        <v>5</v>
      </c>
      <c r="BE22">
        <v>5</v>
      </c>
      <c r="BF22">
        <v>1</v>
      </c>
      <c r="BG22" t="s">
        <v>118</v>
      </c>
      <c r="BH22" t="s">
        <v>119</v>
      </c>
      <c r="BI22" t="b">
        <v>1</v>
      </c>
      <c r="BJ22">
        <v>1</v>
      </c>
      <c r="BK22">
        <v>1</v>
      </c>
      <c r="BL22" t="s">
        <v>115</v>
      </c>
      <c r="BM22" t="s">
        <v>115</v>
      </c>
      <c r="BN22">
        <v>1000</v>
      </c>
      <c r="BP22">
        <v>2316444.551</v>
      </c>
      <c r="BQ22">
        <v>5</v>
      </c>
      <c r="BR22">
        <v>20</v>
      </c>
      <c r="BS22">
        <v>100000004</v>
      </c>
      <c r="BT22" t="s">
        <v>127</v>
      </c>
    </row>
    <row r="23" spans="1:72" x14ac:dyDescent="0.25">
      <c r="A23" s="5">
        <v>45838</v>
      </c>
      <c r="B23" t="s">
        <v>95</v>
      </c>
      <c r="C23">
        <v>12</v>
      </c>
      <c r="D23">
        <v>100000001</v>
      </c>
      <c r="E23">
        <v>4</v>
      </c>
      <c r="F23">
        <v>4</v>
      </c>
      <c r="G23" t="s">
        <v>96</v>
      </c>
      <c r="H23" t="s">
        <v>124</v>
      </c>
      <c r="I23">
        <v>15</v>
      </c>
      <c r="J23">
        <v>163186</v>
      </c>
      <c r="K23">
        <v>98026341</v>
      </c>
      <c r="L23" t="s">
        <v>98</v>
      </c>
      <c r="M23">
        <v>1</v>
      </c>
      <c r="N23" s="3" t="s">
        <v>99</v>
      </c>
      <c r="O23">
        <v>1</v>
      </c>
      <c r="P23">
        <v>2</v>
      </c>
      <c r="Q23">
        <v>5</v>
      </c>
      <c r="R23">
        <v>0</v>
      </c>
      <c r="S23">
        <v>5</v>
      </c>
      <c r="T23" t="s">
        <v>100</v>
      </c>
      <c r="U23" t="s">
        <v>101</v>
      </c>
      <c r="V23" t="s">
        <v>105</v>
      </c>
      <c r="W23" t="str">
        <f t="shared" si="0"/>
        <v>Security 22</v>
      </c>
      <c r="X23" t="s">
        <v>106</v>
      </c>
      <c r="Y23" t="s">
        <v>107</v>
      </c>
      <c r="Z23" t="s">
        <v>96</v>
      </c>
      <c r="AA23" t="s">
        <v>107</v>
      </c>
      <c r="AB23" t="s">
        <v>107</v>
      </c>
      <c r="AC23" t="s">
        <v>107</v>
      </c>
      <c r="AD23" t="s">
        <v>96</v>
      </c>
      <c r="AE23" t="s">
        <v>96</v>
      </c>
      <c r="AF23" t="s">
        <v>108</v>
      </c>
      <c r="AG23" t="b">
        <v>0</v>
      </c>
      <c r="AH23" t="s">
        <v>96</v>
      </c>
      <c r="AI23" t="s">
        <v>107</v>
      </c>
      <c r="AJ23" t="s">
        <v>109</v>
      </c>
      <c r="AL23">
        <v>1</v>
      </c>
      <c r="AM23">
        <v>0.25</v>
      </c>
      <c r="AN23" t="s">
        <v>111</v>
      </c>
      <c r="AO23" t="s">
        <v>112</v>
      </c>
      <c r="AP23" t="s">
        <v>113</v>
      </c>
      <c r="AQ23" s="5">
        <v>45839</v>
      </c>
      <c r="AR23" s="5">
        <v>45839</v>
      </c>
      <c r="AS23" t="s">
        <v>115</v>
      </c>
      <c r="AT23" t="s">
        <v>115</v>
      </c>
      <c r="AV23" t="str">
        <f t="shared" ref="AV23" si="5">IF(OR(AT23="",AT23="null"),AX23,AT23)</f>
        <v>USD</v>
      </c>
      <c r="AW23" t="s">
        <v>115</v>
      </c>
      <c r="AX23" t="s">
        <v>115</v>
      </c>
      <c r="AY23" t="s">
        <v>116</v>
      </c>
      <c r="AZ23">
        <v>5</v>
      </c>
      <c r="BA23">
        <v>20</v>
      </c>
      <c r="BB23">
        <v>20</v>
      </c>
      <c r="BC23">
        <v>5</v>
      </c>
      <c r="BD23">
        <v>5</v>
      </c>
      <c r="BE23">
        <v>5</v>
      </c>
      <c r="BF23">
        <v>1</v>
      </c>
      <c r="BG23" t="s">
        <v>118</v>
      </c>
      <c r="BH23" t="s">
        <v>119</v>
      </c>
      <c r="BI23" t="b">
        <v>1</v>
      </c>
      <c r="BJ23">
        <v>1</v>
      </c>
      <c r="BK23">
        <v>1</v>
      </c>
      <c r="BM23" t="s">
        <v>115</v>
      </c>
      <c r="BN23">
        <v>20000</v>
      </c>
      <c r="BP23">
        <v>1584495.36</v>
      </c>
      <c r="BQ23">
        <v>5</v>
      </c>
      <c r="BR23">
        <v>20</v>
      </c>
      <c r="BS23">
        <v>100000004</v>
      </c>
      <c r="BT23" t="s">
        <v>127</v>
      </c>
    </row>
    <row r="24" spans="1:72" x14ac:dyDescent="0.25">
      <c r="A24" s="5">
        <v>45838</v>
      </c>
      <c r="B24" t="s">
        <v>95</v>
      </c>
      <c r="C24">
        <v>12</v>
      </c>
      <c r="D24">
        <v>100000001</v>
      </c>
      <c r="E24">
        <v>4</v>
      </c>
      <c r="F24">
        <v>4</v>
      </c>
      <c r="G24" t="s">
        <v>96</v>
      </c>
      <c r="H24" t="s">
        <v>124</v>
      </c>
      <c r="I24">
        <v>1</v>
      </c>
      <c r="J24">
        <v>163186</v>
      </c>
      <c r="K24">
        <v>81371583</v>
      </c>
      <c r="L24" t="s">
        <v>98</v>
      </c>
      <c r="M24">
        <v>1</v>
      </c>
      <c r="N24" s="3" t="s">
        <v>99</v>
      </c>
      <c r="O24">
        <v>1</v>
      </c>
      <c r="P24">
        <v>2</v>
      </c>
      <c r="Q24">
        <v>5</v>
      </c>
      <c r="R24">
        <v>0</v>
      </c>
      <c r="S24">
        <v>40</v>
      </c>
      <c r="T24" t="s">
        <v>100</v>
      </c>
      <c r="U24" t="s">
        <v>101</v>
      </c>
      <c r="V24">
        <v>128934523</v>
      </c>
      <c r="W24" t="str">
        <f t="shared" si="0"/>
        <v>Security 23</v>
      </c>
      <c r="X24" t="s">
        <v>106</v>
      </c>
      <c r="Y24" t="s">
        <v>107</v>
      </c>
      <c r="Z24" t="s">
        <v>96</v>
      </c>
      <c r="AA24" t="s">
        <v>96</v>
      </c>
      <c r="AB24" t="s">
        <v>107</v>
      </c>
      <c r="AC24" t="s">
        <v>107</v>
      </c>
      <c r="AD24" t="s">
        <v>96</v>
      </c>
      <c r="AE24" t="s">
        <v>96</v>
      </c>
      <c r="AF24" t="s">
        <v>108</v>
      </c>
      <c r="AG24" t="b">
        <v>0</v>
      </c>
      <c r="AH24" t="s">
        <v>96</v>
      </c>
      <c r="AI24" t="s">
        <v>107</v>
      </c>
      <c r="AJ24" t="s">
        <v>109</v>
      </c>
      <c r="AL24">
        <v>1</v>
      </c>
      <c r="AM24">
        <v>0.25</v>
      </c>
      <c r="AN24" t="s">
        <v>111</v>
      </c>
      <c r="AO24" t="s">
        <v>112</v>
      </c>
      <c r="AP24" t="s">
        <v>113</v>
      </c>
      <c r="AQ24" s="5">
        <v>45839</v>
      </c>
      <c r="AR24" s="5">
        <v>45839</v>
      </c>
      <c r="AS24" t="s">
        <v>115</v>
      </c>
      <c r="AT24" t="s">
        <v>115</v>
      </c>
      <c r="AU24" t="s">
        <v>115</v>
      </c>
      <c r="AV24" t="str">
        <f t="shared" si="4"/>
        <v>USD</v>
      </c>
      <c r="AW24" t="s">
        <v>115</v>
      </c>
      <c r="AX24" t="s">
        <v>115</v>
      </c>
      <c r="AY24" t="s">
        <v>116</v>
      </c>
      <c r="AZ24">
        <v>5</v>
      </c>
      <c r="BA24">
        <v>20</v>
      </c>
      <c r="BB24">
        <v>20</v>
      </c>
      <c r="BC24">
        <v>5</v>
      </c>
      <c r="BD24">
        <v>5</v>
      </c>
      <c r="BE24">
        <v>5</v>
      </c>
      <c r="BF24">
        <v>1</v>
      </c>
      <c r="BG24" t="s">
        <v>118</v>
      </c>
      <c r="BH24" t="s">
        <v>119</v>
      </c>
      <c r="BI24" t="b">
        <v>1</v>
      </c>
      <c r="BJ24">
        <v>0</v>
      </c>
      <c r="BK24">
        <v>1</v>
      </c>
      <c r="BL24" t="s">
        <v>115</v>
      </c>
      <c r="BM24" t="s">
        <v>115</v>
      </c>
      <c r="BN24">
        <v>20000</v>
      </c>
      <c r="BP24">
        <v>127622.9662</v>
      </c>
      <c r="BQ24">
        <v>5</v>
      </c>
      <c r="BR24">
        <v>20</v>
      </c>
      <c r="BS24">
        <v>100000004</v>
      </c>
      <c r="BT24" t="s">
        <v>127</v>
      </c>
    </row>
    <row r="25" spans="1:72" x14ac:dyDescent="0.25">
      <c r="A25" s="5">
        <v>45838</v>
      </c>
      <c r="B25" t="s">
        <v>95</v>
      </c>
      <c r="C25">
        <v>12</v>
      </c>
      <c r="D25">
        <v>100000005</v>
      </c>
      <c r="E25">
        <v>5</v>
      </c>
      <c r="F25">
        <v>5</v>
      </c>
      <c r="G25" t="s">
        <v>96</v>
      </c>
      <c r="H25" t="s">
        <v>124</v>
      </c>
      <c r="I25">
        <v>1</v>
      </c>
      <c r="J25">
        <v>163186</v>
      </c>
      <c r="K25">
        <v>34185972</v>
      </c>
      <c r="L25" t="s">
        <v>98</v>
      </c>
      <c r="M25">
        <v>1</v>
      </c>
      <c r="N25" s="3" t="s">
        <v>99</v>
      </c>
      <c r="O25">
        <v>1</v>
      </c>
      <c r="P25">
        <v>2</v>
      </c>
      <c r="Q25">
        <v>40</v>
      </c>
      <c r="R25">
        <v>20</v>
      </c>
      <c r="S25">
        <v>40</v>
      </c>
      <c r="T25" t="s">
        <v>135</v>
      </c>
      <c r="U25" t="s">
        <v>101</v>
      </c>
      <c r="V25">
        <v>128949123</v>
      </c>
      <c r="W25" t="str">
        <f t="shared" si="0"/>
        <v>Security 24</v>
      </c>
      <c r="X25" t="s">
        <v>106</v>
      </c>
      <c r="Y25" t="s">
        <v>107</v>
      </c>
      <c r="Z25" t="s">
        <v>107</v>
      </c>
      <c r="AA25" t="s">
        <v>96</v>
      </c>
      <c r="AB25" t="s">
        <v>107</v>
      </c>
      <c r="AC25" t="s">
        <v>107</v>
      </c>
      <c r="AD25" t="s">
        <v>96</v>
      </c>
      <c r="AE25" t="s">
        <v>107</v>
      </c>
      <c r="AF25" t="s">
        <v>108</v>
      </c>
      <c r="AG25" t="b">
        <v>0</v>
      </c>
      <c r="AH25" t="s">
        <v>96</v>
      </c>
      <c r="AI25" t="s">
        <v>107</v>
      </c>
      <c r="AJ25" t="s">
        <v>109</v>
      </c>
      <c r="AL25">
        <v>1</v>
      </c>
      <c r="AM25">
        <v>0.25</v>
      </c>
      <c r="AN25" t="s">
        <v>120</v>
      </c>
      <c r="AO25" t="s">
        <v>139</v>
      </c>
      <c r="AP25" t="s">
        <v>113</v>
      </c>
      <c r="AQ25" s="5">
        <v>47772</v>
      </c>
      <c r="AR25" s="5">
        <v>47772</v>
      </c>
      <c r="AS25" t="s">
        <v>115</v>
      </c>
      <c r="AT25" t="s">
        <v>115</v>
      </c>
      <c r="AU25" t="s">
        <v>115</v>
      </c>
      <c r="AV25" t="s">
        <v>115</v>
      </c>
      <c r="AW25" t="s">
        <v>115</v>
      </c>
      <c r="AX25" t="s">
        <v>115</v>
      </c>
      <c r="AY25" t="s">
        <v>116</v>
      </c>
      <c r="AZ25">
        <v>40</v>
      </c>
      <c r="BA25">
        <v>20</v>
      </c>
      <c r="BB25">
        <v>20</v>
      </c>
      <c r="BC25">
        <v>5</v>
      </c>
      <c r="BD25">
        <v>5</v>
      </c>
      <c r="BE25">
        <v>40</v>
      </c>
      <c r="BF25">
        <v>1</v>
      </c>
      <c r="BG25" t="s">
        <v>118</v>
      </c>
      <c r="BH25" t="s">
        <v>134</v>
      </c>
      <c r="BI25" t="b">
        <v>1</v>
      </c>
      <c r="BJ25">
        <v>0</v>
      </c>
      <c r="BK25">
        <v>1</v>
      </c>
      <c r="BL25" t="s">
        <v>115</v>
      </c>
      <c r="BM25" t="s">
        <v>115</v>
      </c>
      <c r="BN25">
        <v>243134</v>
      </c>
      <c r="BO25">
        <v>1807645.81</v>
      </c>
      <c r="BP25">
        <v>2093791.94</v>
      </c>
      <c r="BQ25">
        <v>5</v>
      </c>
      <c r="BR25">
        <v>40</v>
      </c>
      <c r="BS25">
        <v>100000005</v>
      </c>
      <c r="BT25" t="s">
        <v>128</v>
      </c>
    </row>
    <row r="26" spans="1:72" x14ac:dyDescent="0.25">
      <c r="A26" s="5">
        <v>45838</v>
      </c>
      <c r="B26" t="s">
        <v>95</v>
      </c>
      <c r="C26">
        <v>12</v>
      </c>
      <c r="D26">
        <v>100000005</v>
      </c>
      <c r="E26">
        <v>5</v>
      </c>
      <c r="F26">
        <v>5</v>
      </c>
      <c r="G26" t="s">
        <v>96</v>
      </c>
      <c r="H26" t="s">
        <v>124</v>
      </c>
      <c r="I26">
        <v>1</v>
      </c>
      <c r="J26">
        <v>163186</v>
      </c>
      <c r="K26">
        <v>65720439</v>
      </c>
      <c r="L26" t="s">
        <v>98</v>
      </c>
      <c r="M26">
        <v>1</v>
      </c>
      <c r="N26" s="3" t="s">
        <v>99</v>
      </c>
      <c r="O26">
        <v>1</v>
      </c>
      <c r="P26">
        <v>2</v>
      </c>
      <c r="Q26">
        <v>40</v>
      </c>
      <c r="R26">
        <v>20</v>
      </c>
      <c r="S26">
        <v>40</v>
      </c>
      <c r="T26" t="s">
        <v>135</v>
      </c>
      <c r="U26" t="s">
        <v>101</v>
      </c>
      <c r="V26" t="s">
        <v>137</v>
      </c>
      <c r="W26" t="str">
        <f t="shared" si="0"/>
        <v>Security 25</v>
      </c>
      <c r="X26" t="s">
        <v>106</v>
      </c>
      <c r="Y26" t="s">
        <v>107</v>
      </c>
      <c r="Z26" t="s">
        <v>107</v>
      </c>
      <c r="AA26" t="s">
        <v>96</v>
      </c>
      <c r="AB26" t="s">
        <v>107</v>
      </c>
      <c r="AC26" t="s">
        <v>107</v>
      </c>
      <c r="AD26" t="s">
        <v>96</v>
      </c>
      <c r="AE26" t="s">
        <v>107</v>
      </c>
      <c r="AF26" t="s">
        <v>108</v>
      </c>
      <c r="AG26" t="b">
        <v>0</v>
      </c>
      <c r="AH26" t="s">
        <v>96</v>
      </c>
      <c r="AI26" t="s">
        <v>107</v>
      </c>
      <c r="AJ26" t="s">
        <v>109</v>
      </c>
      <c r="AL26">
        <v>1</v>
      </c>
      <c r="AM26">
        <v>0.25</v>
      </c>
      <c r="AN26" t="s">
        <v>111</v>
      </c>
      <c r="AO26" t="s">
        <v>139</v>
      </c>
      <c r="AP26" t="s">
        <v>113</v>
      </c>
      <c r="AQ26" s="5">
        <v>47864</v>
      </c>
      <c r="AR26" s="5">
        <v>47864</v>
      </c>
      <c r="AS26" t="s">
        <v>115</v>
      </c>
      <c r="AT26" t="s">
        <v>115</v>
      </c>
      <c r="AU26" t="s">
        <v>115</v>
      </c>
      <c r="AV26" t="s">
        <v>115</v>
      </c>
      <c r="AW26" t="s">
        <v>115</v>
      </c>
      <c r="AX26" t="s">
        <v>115</v>
      </c>
      <c r="AY26" t="s">
        <v>116</v>
      </c>
      <c r="AZ26">
        <v>40</v>
      </c>
      <c r="BA26">
        <v>20</v>
      </c>
      <c r="BB26">
        <v>20</v>
      </c>
      <c r="BC26">
        <v>5</v>
      </c>
      <c r="BD26">
        <v>5</v>
      </c>
      <c r="BE26">
        <v>40</v>
      </c>
      <c r="BF26">
        <v>1</v>
      </c>
      <c r="BG26" t="s">
        <v>118</v>
      </c>
      <c r="BH26" t="s">
        <v>134</v>
      </c>
      <c r="BI26" t="b">
        <v>1</v>
      </c>
      <c r="BJ26">
        <v>0</v>
      </c>
      <c r="BK26">
        <v>1</v>
      </c>
      <c r="BL26" t="s">
        <v>115</v>
      </c>
      <c r="BM26" t="s">
        <v>115</v>
      </c>
      <c r="BN26">
        <v>18000</v>
      </c>
      <c r="BO26">
        <v>19151760.59</v>
      </c>
      <c r="BP26">
        <v>17000000</v>
      </c>
      <c r="BQ26">
        <v>5</v>
      </c>
      <c r="BR26">
        <v>40</v>
      </c>
      <c r="BS26">
        <v>100000005</v>
      </c>
      <c r="BT26" t="s">
        <v>128</v>
      </c>
    </row>
    <row r="27" spans="1:72" x14ac:dyDescent="0.25">
      <c r="A27" s="5">
        <v>45838</v>
      </c>
      <c r="B27" t="s">
        <v>95</v>
      </c>
      <c r="C27">
        <v>12</v>
      </c>
      <c r="D27">
        <v>100000005</v>
      </c>
      <c r="E27">
        <v>5</v>
      </c>
      <c r="F27">
        <v>5</v>
      </c>
      <c r="G27" t="s">
        <v>96</v>
      </c>
      <c r="H27" t="s">
        <v>124</v>
      </c>
      <c r="I27">
        <v>1</v>
      </c>
      <c r="J27">
        <v>163186</v>
      </c>
      <c r="K27">
        <v>39684175</v>
      </c>
      <c r="L27" t="s">
        <v>98</v>
      </c>
      <c r="M27">
        <v>1</v>
      </c>
      <c r="N27" s="3" t="s">
        <v>99</v>
      </c>
      <c r="O27">
        <v>1</v>
      </c>
      <c r="P27">
        <v>2</v>
      </c>
      <c r="Q27">
        <v>20</v>
      </c>
      <c r="R27">
        <v>20</v>
      </c>
      <c r="S27">
        <v>20</v>
      </c>
      <c r="T27" t="s">
        <v>136</v>
      </c>
      <c r="U27" t="s">
        <v>101</v>
      </c>
      <c r="V27">
        <v>325892398</v>
      </c>
      <c r="W27" t="str">
        <f t="shared" si="0"/>
        <v>Security 26</v>
      </c>
      <c r="X27" t="s">
        <v>106</v>
      </c>
      <c r="Y27" t="s">
        <v>107</v>
      </c>
      <c r="Z27" t="s">
        <v>107</v>
      </c>
      <c r="AA27" t="s">
        <v>96</v>
      </c>
      <c r="AB27" t="s">
        <v>107</v>
      </c>
      <c r="AC27" t="s">
        <v>107</v>
      </c>
      <c r="AD27" t="s">
        <v>96</v>
      </c>
      <c r="AE27" t="s">
        <v>107</v>
      </c>
      <c r="AF27" t="s">
        <v>108</v>
      </c>
      <c r="AG27" t="b">
        <v>0</v>
      </c>
      <c r="AH27" t="s">
        <v>96</v>
      </c>
      <c r="AI27" t="s">
        <v>107</v>
      </c>
      <c r="AJ27" t="s">
        <v>109</v>
      </c>
      <c r="AL27">
        <v>1</v>
      </c>
      <c r="AM27">
        <v>0.24</v>
      </c>
      <c r="AN27" t="s">
        <v>111</v>
      </c>
      <c r="AO27" t="s">
        <v>140</v>
      </c>
      <c r="AP27" t="s">
        <v>113</v>
      </c>
      <c r="AQ27" s="5">
        <v>11247</v>
      </c>
      <c r="AR27" s="5">
        <v>11247</v>
      </c>
      <c r="AS27" t="s">
        <v>115</v>
      </c>
      <c r="AT27" t="s">
        <v>115</v>
      </c>
      <c r="AU27" t="s">
        <v>115</v>
      </c>
      <c r="AV27" t="s">
        <v>115</v>
      </c>
      <c r="AW27" t="s">
        <v>115</v>
      </c>
      <c r="AX27" t="s">
        <v>115</v>
      </c>
      <c r="AY27" t="s">
        <v>116</v>
      </c>
      <c r="AZ27">
        <v>20</v>
      </c>
      <c r="BA27">
        <v>20</v>
      </c>
      <c r="BB27">
        <v>20</v>
      </c>
      <c r="BC27">
        <v>5</v>
      </c>
      <c r="BD27">
        <v>5</v>
      </c>
      <c r="BE27">
        <v>20</v>
      </c>
      <c r="BF27">
        <v>1</v>
      </c>
      <c r="BG27" t="s">
        <v>118</v>
      </c>
      <c r="BH27" t="s">
        <v>134</v>
      </c>
      <c r="BI27" t="b">
        <v>1</v>
      </c>
      <c r="BJ27">
        <v>0</v>
      </c>
      <c r="BK27">
        <v>1</v>
      </c>
      <c r="BL27" t="s">
        <v>115</v>
      </c>
      <c r="BM27" t="s">
        <v>115</v>
      </c>
      <c r="BN27">
        <v>7000</v>
      </c>
      <c r="BO27">
        <v>31485709.75</v>
      </c>
      <c r="BP27">
        <v>29468459.190000001</v>
      </c>
      <c r="BQ27">
        <v>5</v>
      </c>
      <c r="BR27">
        <v>20</v>
      </c>
      <c r="BS27">
        <v>100000005</v>
      </c>
      <c r="BT27" t="s">
        <v>128</v>
      </c>
    </row>
    <row r="28" spans="1:72" x14ac:dyDescent="0.25">
      <c r="A28" s="5">
        <v>45838</v>
      </c>
      <c r="B28" t="s">
        <v>95</v>
      </c>
      <c r="C28">
        <v>12</v>
      </c>
      <c r="D28">
        <v>100000005</v>
      </c>
      <c r="E28">
        <v>5</v>
      </c>
      <c r="F28">
        <v>5</v>
      </c>
      <c r="G28" t="s">
        <v>96</v>
      </c>
      <c r="H28" t="s">
        <v>124</v>
      </c>
      <c r="I28">
        <v>1</v>
      </c>
      <c r="J28">
        <v>163186</v>
      </c>
      <c r="K28">
        <v>52319084</v>
      </c>
      <c r="L28" t="s">
        <v>98</v>
      </c>
      <c r="M28">
        <v>1</v>
      </c>
      <c r="N28" s="3" t="s">
        <v>99</v>
      </c>
      <c r="O28">
        <v>1</v>
      </c>
      <c r="P28">
        <v>2</v>
      </c>
      <c r="Q28">
        <v>20</v>
      </c>
      <c r="R28">
        <v>5</v>
      </c>
      <c r="S28">
        <v>20</v>
      </c>
      <c r="T28" t="s">
        <v>136</v>
      </c>
      <c r="U28" t="s">
        <v>101</v>
      </c>
      <c r="V28" t="s">
        <v>138</v>
      </c>
      <c r="W28" t="str">
        <f t="shared" si="0"/>
        <v>Security 27</v>
      </c>
      <c r="X28" t="s">
        <v>106</v>
      </c>
      <c r="Y28" t="s">
        <v>107</v>
      </c>
      <c r="Z28" t="s">
        <v>107</v>
      </c>
      <c r="AA28" t="s">
        <v>107</v>
      </c>
      <c r="AB28" t="s">
        <v>107</v>
      </c>
      <c r="AC28" t="s">
        <v>107</v>
      </c>
      <c r="AD28" t="s">
        <v>96</v>
      </c>
      <c r="AE28" t="s">
        <v>107</v>
      </c>
      <c r="AF28" t="s">
        <v>108</v>
      </c>
      <c r="AG28" t="b">
        <v>0</v>
      </c>
      <c r="AH28" t="s">
        <v>96</v>
      </c>
      <c r="AI28" t="s">
        <v>107</v>
      </c>
      <c r="AJ28" t="s">
        <v>109</v>
      </c>
      <c r="AL28">
        <v>1</v>
      </c>
      <c r="AM28">
        <v>0.24</v>
      </c>
      <c r="AN28" t="s">
        <v>111</v>
      </c>
      <c r="AO28" t="s">
        <v>140</v>
      </c>
      <c r="AP28" t="s">
        <v>113</v>
      </c>
      <c r="AQ28" s="5">
        <v>47589</v>
      </c>
      <c r="AR28" s="5">
        <v>47589</v>
      </c>
      <c r="AS28" t="s">
        <v>115</v>
      </c>
      <c r="AT28" t="s">
        <v>115</v>
      </c>
      <c r="AU28" t="s">
        <v>115</v>
      </c>
      <c r="AV28" t="s">
        <v>115</v>
      </c>
      <c r="AW28" t="s">
        <v>115</v>
      </c>
      <c r="AX28" t="s">
        <v>115</v>
      </c>
      <c r="AY28" t="s">
        <v>117</v>
      </c>
      <c r="AZ28">
        <v>20</v>
      </c>
      <c r="BA28">
        <v>20</v>
      </c>
      <c r="BB28">
        <v>20</v>
      </c>
      <c r="BC28">
        <v>5</v>
      </c>
      <c r="BD28">
        <v>5</v>
      </c>
      <c r="BE28">
        <v>20</v>
      </c>
      <c r="BF28">
        <v>1</v>
      </c>
      <c r="BG28" t="s">
        <v>118</v>
      </c>
      <c r="BH28" t="s">
        <v>134</v>
      </c>
      <c r="BI28" t="b">
        <v>1</v>
      </c>
      <c r="BJ28">
        <v>1</v>
      </c>
      <c r="BK28">
        <v>1</v>
      </c>
      <c r="BL28" t="s">
        <v>115</v>
      </c>
      <c r="BM28" t="s">
        <v>115</v>
      </c>
      <c r="BN28">
        <v>20000</v>
      </c>
      <c r="BO28">
        <v>1</v>
      </c>
      <c r="BP28">
        <v>20885570.18</v>
      </c>
      <c r="BQ28">
        <v>5</v>
      </c>
      <c r="BR28">
        <v>20</v>
      </c>
      <c r="BS28">
        <v>100000005</v>
      </c>
      <c r="BT28" t="s">
        <v>128</v>
      </c>
    </row>
    <row r="29" spans="1:72" x14ac:dyDescent="0.25">
      <c r="A29" s="5">
        <v>45838</v>
      </c>
      <c r="B29" t="s">
        <v>95</v>
      </c>
      <c r="C29">
        <v>12</v>
      </c>
      <c r="D29">
        <v>100000005</v>
      </c>
      <c r="E29">
        <v>5</v>
      </c>
      <c r="F29">
        <v>5</v>
      </c>
      <c r="G29" t="s">
        <v>96</v>
      </c>
      <c r="H29" t="s">
        <v>124</v>
      </c>
      <c r="I29">
        <v>1</v>
      </c>
      <c r="J29">
        <v>163186</v>
      </c>
      <c r="K29">
        <v>76921530</v>
      </c>
      <c r="L29" t="s">
        <v>98</v>
      </c>
      <c r="M29">
        <v>1</v>
      </c>
      <c r="N29" s="3" t="s">
        <v>99</v>
      </c>
      <c r="O29">
        <v>1</v>
      </c>
      <c r="P29">
        <v>2</v>
      </c>
      <c r="Q29">
        <v>20</v>
      </c>
      <c r="R29">
        <v>20</v>
      </c>
      <c r="S29">
        <v>20</v>
      </c>
      <c r="T29" t="s">
        <v>136</v>
      </c>
      <c r="U29" t="s">
        <v>101</v>
      </c>
      <c r="V29">
        <v>162329422</v>
      </c>
      <c r="W29" t="str">
        <f t="shared" si="0"/>
        <v>Security 28</v>
      </c>
      <c r="X29" t="s">
        <v>106</v>
      </c>
      <c r="Y29" t="s">
        <v>107</v>
      </c>
      <c r="Z29" t="s">
        <v>107</v>
      </c>
      <c r="AA29" t="s">
        <v>107</v>
      </c>
      <c r="AB29" t="s">
        <v>107</v>
      </c>
      <c r="AC29" t="s">
        <v>107</v>
      </c>
      <c r="AD29" t="s">
        <v>96</v>
      </c>
      <c r="AE29" t="s">
        <v>107</v>
      </c>
      <c r="AF29" t="s">
        <v>108</v>
      </c>
      <c r="AG29" t="b">
        <v>0</v>
      </c>
      <c r="AH29" t="s">
        <v>96</v>
      </c>
      <c r="AI29" t="s">
        <v>107</v>
      </c>
      <c r="AJ29" t="s">
        <v>109</v>
      </c>
      <c r="AL29">
        <v>1</v>
      </c>
      <c r="AM29">
        <v>0.24</v>
      </c>
      <c r="AN29" t="s">
        <v>120</v>
      </c>
      <c r="AO29" t="s">
        <v>140</v>
      </c>
      <c r="AP29" t="s">
        <v>113</v>
      </c>
      <c r="AQ29" s="5">
        <v>47589</v>
      </c>
      <c r="AR29" s="5">
        <v>47589</v>
      </c>
      <c r="AS29" t="s">
        <v>115</v>
      </c>
      <c r="AT29" t="s">
        <v>115</v>
      </c>
      <c r="AU29" t="s">
        <v>115</v>
      </c>
      <c r="AV29" t="s">
        <v>115</v>
      </c>
      <c r="AW29" t="s">
        <v>115</v>
      </c>
      <c r="AX29" t="s">
        <v>115</v>
      </c>
      <c r="AY29" t="s">
        <v>117</v>
      </c>
      <c r="AZ29">
        <v>20</v>
      </c>
      <c r="BA29">
        <v>20</v>
      </c>
      <c r="BB29">
        <v>20</v>
      </c>
      <c r="BC29">
        <v>5</v>
      </c>
      <c r="BD29">
        <v>5</v>
      </c>
      <c r="BE29">
        <v>20</v>
      </c>
      <c r="BF29">
        <v>1</v>
      </c>
      <c r="BG29" t="s">
        <v>118</v>
      </c>
      <c r="BH29" t="s">
        <v>134</v>
      </c>
      <c r="BI29" t="b">
        <v>1</v>
      </c>
      <c r="BJ29">
        <v>1</v>
      </c>
      <c r="BK29">
        <v>1</v>
      </c>
      <c r="BL29" t="s">
        <v>115</v>
      </c>
      <c r="BM29" t="s">
        <v>115</v>
      </c>
      <c r="BN29">
        <v>12341</v>
      </c>
      <c r="BO29">
        <v>1</v>
      </c>
      <c r="BP29">
        <v>2001800</v>
      </c>
      <c r="BQ29">
        <v>5</v>
      </c>
      <c r="BR29">
        <v>20</v>
      </c>
      <c r="BS29">
        <v>100000005</v>
      </c>
      <c r="BT29" t="s">
        <v>128</v>
      </c>
    </row>
    <row r="30" spans="1:72" x14ac:dyDescent="0.25">
      <c r="A30" s="5">
        <v>45838</v>
      </c>
      <c r="B30" t="s">
        <v>95</v>
      </c>
      <c r="C30">
        <v>12</v>
      </c>
      <c r="D30">
        <v>100000001</v>
      </c>
      <c r="E30">
        <v>6</v>
      </c>
      <c r="F30">
        <v>6</v>
      </c>
      <c r="G30" t="s">
        <v>96</v>
      </c>
      <c r="H30" t="s">
        <v>124</v>
      </c>
      <c r="I30">
        <v>1</v>
      </c>
      <c r="J30">
        <v>163186</v>
      </c>
      <c r="K30">
        <v>63057489</v>
      </c>
      <c r="L30" t="s">
        <v>98</v>
      </c>
      <c r="M30">
        <v>1</v>
      </c>
      <c r="N30" s="3" t="s">
        <v>99</v>
      </c>
      <c r="O30">
        <v>1</v>
      </c>
      <c r="P30">
        <v>2</v>
      </c>
      <c r="Q30">
        <v>5</v>
      </c>
      <c r="R30">
        <v>0</v>
      </c>
      <c r="S30">
        <v>5</v>
      </c>
      <c r="T30" t="s">
        <v>100</v>
      </c>
      <c r="U30" t="s">
        <v>101</v>
      </c>
      <c r="V30">
        <v>43291048</v>
      </c>
      <c r="W30" t="str">
        <f t="shared" si="0"/>
        <v>Security 29</v>
      </c>
      <c r="X30" t="s">
        <v>106</v>
      </c>
      <c r="Y30" t="s">
        <v>107</v>
      </c>
      <c r="Z30" t="s">
        <v>96</v>
      </c>
      <c r="AA30" t="s">
        <v>107</v>
      </c>
      <c r="AB30" t="s">
        <v>107</v>
      </c>
      <c r="AC30" t="s">
        <v>107</v>
      </c>
      <c r="AD30" t="s">
        <v>96</v>
      </c>
      <c r="AE30" t="s">
        <v>96</v>
      </c>
      <c r="AF30" t="s">
        <v>108</v>
      </c>
      <c r="AG30" t="b">
        <v>0</v>
      </c>
      <c r="AH30" t="s">
        <v>96</v>
      </c>
      <c r="AI30" t="s">
        <v>107</v>
      </c>
      <c r="AJ30" t="s">
        <v>109</v>
      </c>
      <c r="AL30">
        <v>1</v>
      </c>
      <c r="AM30">
        <v>0.15</v>
      </c>
      <c r="AN30" t="s">
        <v>111</v>
      </c>
      <c r="AO30" t="s">
        <v>112</v>
      </c>
      <c r="AP30" t="s">
        <v>113</v>
      </c>
      <c r="AQ30" s="5">
        <v>45839</v>
      </c>
      <c r="AR30" s="5">
        <v>45839</v>
      </c>
      <c r="AS30" t="s">
        <v>115</v>
      </c>
      <c r="AT30" t="s">
        <v>115</v>
      </c>
      <c r="AU30" t="s">
        <v>115</v>
      </c>
      <c r="AV30" t="s">
        <v>115</v>
      </c>
      <c r="AW30" t="s">
        <v>115</v>
      </c>
      <c r="AX30" t="s">
        <v>115</v>
      </c>
      <c r="AY30" t="s">
        <v>116</v>
      </c>
      <c r="AZ30">
        <v>5</v>
      </c>
      <c r="BA30">
        <v>20</v>
      </c>
      <c r="BB30">
        <v>20</v>
      </c>
      <c r="BC30">
        <v>5</v>
      </c>
      <c r="BD30">
        <v>5</v>
      </c>
      <c r="BE30">
        <v>5</v>
      </c>
      <c r="BF30">
        <v>1</v>
      </c>
      <c r="BG30" t="s">
        <v>118</v>
      </c>
      <c r="BH30" t="s">
        <v>119</v>
      </c>
      <c r="BI30" t="b">
        <v>1</v>
      </c>
      <c r="BJ30">
        <v>1</v>
      </c>
      <c r="BK30">
        <v>1</v>
      </c>
      <c r="BL30" t="s">
        <v>115</v>
      </c>
      <c r="BM30" t="s">
        <v>115</v>
      </c>
      <c r="BN30">
        <v>10000</v>
      </c>
      <c r="BO30">
        <v>0</v>
      </c>
      <c r="BP30">
        <v>770909</v>
      </c>
      <c r="BQ30">
        <v>5</v>
      </c>
      <c r="BR30">
        <v>20</v>
      </c>
      <c r="BS30">
        <v>100000006</v>
      </c>
      <c r="BT30" t="s">
        <v>141</v>
      </c>
    </row>
    <row r="31" spans="1:72" x14ac:dyDescent="0.25">
      <c r="A31" s="5">
        <v>45838</v>
      </c>
      <c r="B31" t="s">
        <v>95</v>
      </c>
      <c r="C31">
        <v>12</v>
      </c>
      <c r="D31">
        <v>100000001</v>
      </c>
      <c r="E31">
        <v>6</v>
      </c>
      <c r="F31">
        <v>6</v>
      </c>
      <c r="G31" t="s">
        <v>96</v>
      </c>
      <c r="H31" t="s">
        <v>124</v>
      </c>
      <c r="I31">
        <v>15</v>
      </c>
      <c r="J31">
        <v>163186</v>
      </c>
      <c r="K31">
        <v>15842976</v>
      </c>
      <c r="L31" t="s">
        <v>98</v>
      </c>
      <c r="M31">
        <v>1</v>
      </c>
      <c r="N31" s="3" t="s">
        <v>99</v>
      </c>
      <c r="O31">
        <v>1</v>
      </c>
      <c r="P31">
        <v>2</v>
      </c>
      <c r="Q31">
        <v>5</v>
      </c>
      <c r="R31">
        <v>0</v>
      </c>
      <c r="S31">
        <v>5</v>
      </c>
      <c r="T31" t="s">
        <v>100</v>
      </c>
      <c r="U31" t="s">
        <v>101</v>
      </c>
      <c r="V31">
        <v>52252344</v>
      </c>
      <c r="W31" t="str">
        <f t="shared" si="0"/>
        <v>Security 30</v>
      </c>
      <c r="X31" t="s">
        <v>106</v>
      </c>
      <c r="Y31" t="s">
        <v>107</v>
      </c>
      <c r="Z31" t="s">
        <v>96</v>
      </c>
      <c r="AA31" t="s">
        <v>107</v>
      </c>
      <c r="AB31" t="s">
        <v>107</v>
      </c>
      <c r="AC31" t="s">
        <v>107</v>
      </c>
      <c r="AD31" t="s">
        <v>96</v>
      </c>
      <c r="AE31" t="s">
        <v>96</v>
      </c>
      <c r="AF31" t="s">
        <v>108</v>
      </c>
      <c r="AG31" t="b">
        <v>0</v>
      </c>
      <c r="AH31" t="s">
        <v>96</v>
      </c>
      <c r="AI31" t="s">
        <v>107</v>
      </c>
      <c r="AJ31" t="s">
        <v>109</v>
      </c>
      <c r="AL31">
        <v>1</v>
      </c>
      <c r="AM31">
        <v>0.25</v>
      </c>
      <c r="AN31" t="s">
        <v>111</v>
      </c>
      <c r="AO31" t="s">
        <v>112</v>
      </c>
      <c r="AP31" t="s">
        <v>113</v>
      </c>
      <c r="AQ31" s="5">
        <v>45839</v>
      </c>
      <c r="AR31" s="5">
        <v>45839</v>
      </c>
      <c r="AS31" t="s">
        <v>115</v>
      </c>
      <c r="AT31" t="s">
        <v>115</v>
      </c>
      <c r="AU31" t="s">
        <v>115</v>
      </c>
      <c r="AW31" t="s">
        <v>115</v>
      </c>
      <c r="AX31" t="s">
        <v>115</v>
      </c>
      <c r="AY31" t="s">
        <v>117</v>
      </c>
      <c r="AZ31">
        <v>5</v>
      </c>
      <c r="BA31">
        <v>20</v>
      </c>
      <c r="BB31">
        <v>20</v>
      </c>
      <c r="BC31">
        <v>5</v>
      </c>
      <c r="BD31">
        <v>5</v>
      </c>
      <c r="BE31">
        <v>5</v>
      </c>
      <c r="BF31">
        <v>1</v>
      </c>
      <c r="BG31" t="s">
        <v>118</v>
      </c>
      <c r="BH31" t="s">
        <v>119</v>
      </c>
      <c r="BI31" t="b">
        <v>1</v>
      </c>
      <c r="BJ31">
        <v>1</v>
      </c>
      <c r="BK31">
        <v>1</v>
      </c>
      <c r="BL31" t="s">
        <v>115</v>
      </c>
      <c r="BN31">
        <v>10000</v>
      </c>
      <c r="BO31">
        <v>0</v>
      </c>
      <c r="BP31">
        <v>4082837</v>
      </c>
      <c r="BQ31">
        <v>5</v>
      </c>
      <c r="BR31">
        <v>20</v>
      </c>
      <c r="BS31">
        <v>100000006</v>
      </c>
      <c r="BT31" t="s">
        <v>141</v>
      </c>
    </row>
    <row r="32" spans="1:72" x14ac:dyDescent="0.25">
      <c r="A32" s="5">
        <v>45838</v>
      </c>
      <c r="B32" t="s">
        <v>95</v>
      </c>
      <c r="C32">
        <v>12</v>
      </c>
      <c r="D32">
        <v>100000001</v>
      </c>
      <c r="E32">
        <v>6</v>
      </c>
      <c r="F32">
        <v>6</v>
      </c>
      <c r="G32" t="s">
        <v>96</v>
      </c>
      <c r="H32" t="s">
        <v>124</v>
      </c>
      <c r="I32">
        <v>1</v>
      </c>
      <c r="J32">
        <v>163186</v>
      </c>
      <c r="K32">
        <v>29753014</v>
      </c>
      <c r="L32" t="s">
        <v>98</v>
      </c>
      <c r="M32">
        <v>1</v>
      </c>
      <c r="N32" s="3" t="s">
        <v>99</v>
      </c>
      <c r="O32">
        <v>1</v>
      </c>
      <c r="P32">
        <v>2</v>
      </c>
      <c r="Q32">
        <v>5</v>
      </c>
      <c r="R32">
        <v>0</v>
      </c>
      <c r="S32">
        <v>5</v>
      </c>
      <c r="T32" t="s">
        <v>100</v>
      </c>
      <c r="U32" t="s">
        <v>101</v>
      </c>
      <c r="V32">
        <v>24352523</v>
      </c>
      <c r="W32" t="str">
        <f t="shared" si="0"/>
        <v>Security 31</v>
      </c>
      <c r="X32" t="s">
        <v>106</v>
      </c>
      <c r="Y32" t="s">
        <v>107</v>
      </c>
      <c r="Z32" t="s">
        <v>96</v>
      </c>
      <c r="AA32" t="s">
        <v>107</v>
      </c>
      <c r="AB32" t="s">
        <v>107</v>
      </c>
      <c r="AC32" t="s">
        <v>107</v>
      </c>
      <c r="AD32" t="s">
        <v>96</v>
      </c>
      <c r="AE32" t="s">
        <v>96</v>
      </c>
      <c r="AF32" t="s">
        <v>108</v>
      </c>
      <c r="AG32" t="b">
        <v>0</v>
      </c>
      <c r="AH32" t="s">
        <v>96</v>
      </c>
      <c r="AI32" t="s">
        <v>107</v>
      </c>
      <c r="AJ32" t="s">
        <v>109</v>
      </c>
      <c r="AL32">
        <v>1</v>
      </c>
      <c r="AM32">
        <v>0.25</v>
      </c>
      <c r="AN32" t="s">
        <v>111</v>
      </c>
      <c r="AO32" t="s">
        <v>112</v>
      </c>
      <c r="AP32" t="s">
        <v>113</v>
      </c>
      <c r="AQ32" s="5">
        <v>45839</v>
      </c>
      <c r="AR32" s="5">
        <v>45839</v>
      </c>
      <c r="AS32" t="s">
        <v>115</v>
      </c>
      <c r="AT32" t="s">
        <v>115</v>
      </c>
      <c r="AU32" t="s">
        <v>115</v>
      </c>
      <c r="AV32" t="s">
        <v>115</v>
      </c>
      <c r="AW32" t="s">
        <v>115</v>
      </c>
      <c r="AX32" t="s">
        <v>115</v>
      </c>
      <c r="AY32" t="s">
        <v>117</v>
      </c>
      <c r="AZ32">
        <v>5</v>
      </c>
      <c r="BA32">
        <v>20</v>
      </c>
      <c r="BB32">
        <v>20</v>
      </c>
      <c r="BC32">
        <v>5</v>
      </c>
      <c r="BD32">
        <v>5</v>
      </c>
      <c r="BE32">
        <v>5</v>
      </c>
      <c r="BF32">
        <v>1</v>
      </c>
      <c r="BG32" t="s">
        <v>118</v>
      </c>
      <c r="BH32" t="s">
        <v>119</v>
      </c>
      <c r="BI32" t="b">
        <v>1</v>
      </c>
      <c r="BJ32">
        <v>1</v>
      </c>
      <c r="BK32">
        <v>1</v>
      </c>
      <c r="BL32" t="s">
        <v>115</v>
      </c>
      <c r="BM32" t="s">
        <v>115</v>
      </c>
      <c r="BN32">
        <v>10000</v>
      </c>
      <c r="BO32">
        <v>0</v>
      </c>
      <c r="BP32">
        <v>1777799</v>
      </c>
      <c r="BQ32">
        <v>5</v>
      </c>
      <c r="BR32">
        <v>20</v>
      </c>
      <c r="BS32">
        <v>100000006</v>
      </c>
      <c r="BT32" t="s">
        <v>141</v>
      </c>
    </row>
    <row r="33" spans="1:72" x14ac:dyDescent="0.25">
      <c r="A33" s="5">
        <v>45838</v>
      </c>
      <c r="B33" t="s">
        <v>95</v>
      </c>
      <c r="C33">
        <v>12</v>
      </c>
      <c r="D33">
        <v>100000001</v>
      </c>
      <c r="E33">
        <v>7</v>
      </c>
      <c r="F33">
        <v>7</v>
      </c>
      <c r="G33" t="s">
        <v>96</v>
      </c>
      <c r="H33" t="s">
        <v>124</v>
      </c>
      <c r="I33">
        <v>1</v>
      </c>
      <c r="J33">
        <v>163186</v>
      </c>
      <c r="K33">
        <v>84579230</v>
      </c>
      <c r="L33" t="s">
        <v>98</v>
      </c>
      <c r="M33">
        <v>1</v>
      </c>
      <c r="N33" s="3" t="s">
        <v>99</v>
      </c>
      <c r="O33">
        <v>1</v>
      </c>
      <c r="P33">
        <v>2</v>
      </c>
      <c r="Q33">
        <v>40</v>
      </c>
      <c r="R33">
        <v>20</v>
      </c>
      <c r="S33">
        <v>40</v>
      </c>
      <c r="T33" t="s">
        <v>135</v>
      </c>
      <c r="U33" t="s">
        <v>101</v>
      </c>
      <c r="V33">
        <v>129344312</v>
      </c>
      <c r="W33" t="str">
        <f t="shared" si="0"/>
        <v>Security 32</v>
      </c>
      <c r="X33" t="s">
        <v>106</v>
      </c>
      <c r="Y33" t="s">
        <v>107</v>
      </c>
      <c r="Z33" t="s">
        <v>107</v>
      </c>
      <c r="AA33" t="s">
        <v>96</v>
      </c>
      <c r="AB33" t="s">
        <v>107</v>
      </c>
      <c r="AC33" t="s">
        <v>107</v>
      </c>
      <c r="AD33" t="s">
        <v>96</v>
      </c>
      <c r="AE33" t="s">
        <v>107</v>
      </c>
      <c r="AF33" t="s">
        <v>108</v>
      </c>
      <c r="AG33" t="b">
        <v>0</v>
      </c>
      <c r="AH33" s="8" t="s">
        <v>107</v>
      </c>
      <c r="AI33" t="s">
        <v>107</v>
      </c>
      <c r="AJ33" t="s">
        <v>109</v>
      </c>
      <c r="AL33">
        <v>1</v>
      </c>
      <c r="AM33">
        <v>0.25</v>
      </c>
      <c r="AN33" t="s">
        <v>111</v>
      </c>
      <c r="AO33" t="s">
        <v>143</v>
      </c>
      <c r="AP33" t="s">
        <v>113</v>
      </c>
      <c r="AQ33" s="5">
        <v>46139</v>
      </c>
      <c r="AR33" s="5">
        <v>46139</v>
      </c>
      <c r="AS33" t="s">
        <v>115</v>
      </c>
      <c r="AT33" t="s">
        <v>115</v>
      </c>
      <c r="AU33" t="s">
        <v>115</v>
      </c>
      <c r="AV33" t="s">
        <v>115</v>
      </c>
      <c r="AW33" t="s">
        <v>115</v>
      </c>
      <c r="AX33" t="s">
        <v>115</v>
      </c>
      <c r="AY33" t="s">
        <v>116</v>
      </c>
      <c r="AZ33">
        <v>40</v>
      </c>
      <c r="BA33">
        <v>20</v>
      </c>
      <c r="BB33">
        <v>20</v>
      </c>
      <c r="BC33">
        <v>5</v>
      </c>
      <c r="BD33">
        <v>5</v>
      </c>
      <c r="BE33">
        <v>40</v>
      </c>
      <c r="BF33">
        <v>1</v>
      </c>
      <c r="BG33" t="s">
        <v>118</v>
      </c>
      <c r="BH33" t="s">
        <v>134</v>
      </c>
      <c r="BI33" t="b">
        <v>1</v>
      </c>
      <c r="BJ33">
        <v>0</v>
      </c>
      <c r="BK33">
        <v>1</v>
      </c>
      <c r="BL33" t="s">
        <v>115</v>
      </c>
      <c r="BM33" t="s">
        <v>115</v>
      </c>
      <c r="BN33">
        <v>231442</v>
      </c>
      <c r="BO33">
        <v>128352840</v>
      </c>
      <c r="BP33">
        <v>176393615</v>
      </c>
      <c r="BQ33">
        <v>5</v>
      </c>
      <c r="BR33">
        <v>40</v>
      </c>
      <c r="BS33">
        <v>100000007</v>
      </c>
      <c r="BT33" t="s">
        <v>146</v>
      </c>
    </row>
    <row r="34" spans="1:72" x14ac:dyDescent="0.25">
      <c r="A34" s="5">
        <v>45838</v>
      </c>
      <c r="B34" t="s">
        <v>95</v>
      </c>
      <c r="C34">
        <v>12</v>
      </c>
      <c r="D34">
        <v>100000001</v>
      </c>
      <c r="E34">
        <v>7</v>
      </c>
      <c r="F34">
        <v>7</v>
      </c>
      <c r="G34" t="s">
        <v>96</v>
      </c>
      <c r="H34" t="s">
        <v>124</v>
      </c>
      <c r="I34">
        <v>1</v>
      </c>
      <c r="J34">
        <v>163186</v>
      </c>
      <c r="K34">
        <v>90463182</v>
      </c>
      <c r="L34" t="s">
        <v>98</v>
      </c>
      <c r="M34">
        <v>1</v>
      </c>
      <c r="N34" s="3" t="s">
        <v>99</v>
      </c>
      <c r="O34">
        <v>1</v>
      </c>
      <c r="P34">
        <v>2</v>
      </c>
      <c r="Q34">
        <v>5</v>
      </c>
      <c r="R34">
        <v>0</v>
      </c>
      <c r="S34">
        <v>5</v>
      </c>
      <c r="T34" t="s">
        <v>100</v>
      </c>
      <c r="U34" t="s">
        <v>101</v>
      </c>
      <c r="V34" t="s">
        <v>142</v>
      </c>
      <c r="W34" t="s">
        <v>145</v>
      </c>
      <c r="X34" t="s">
        <v>106</v>
      </c>
      <c r="Y34" t="s">
        <v>107</v>
      </c>
      <c r="Z34" t="s">
        <v>107</v>
      </c>
      <c r="AA34" t="s">
        <v>107</v>
      </c>
      <c r="AB34" t="s">
        <v>107</v>
      </c>
      <c r="AC34" t="s">
        <v>107</v>
      </c>
      <c r="AD34" t="s">
        <v>96</v>
      </c>
      <c r="AE34" t="s">
        <v>107</v>
      </c>
      <c r="AF34" t="s">
        <v>108</v>
      </c>
      <c r="AG34" t="b">
        <v>0</v>
      </c>
      <c r="AH34" t="s">
        <v>96</v>
      </c>
      <c r="AI34" t="s">
        <v>107</v>
      </c>
      <c r="AJ34" t="s">
        <v>109</v>
      </c>
      <c r="AL34">
        <v>1</v>
      </c>
      <c r="AM34">
        <v>0</v>
      </c>
      <c r="AN34" t="s">
        <v>111</v>
      </c>
      <c r="AO34" t="s">
        <v>144</v>
      </c>
      <c r="AP34" t="s">
        <v>113</v>
      </c>
      <c r="AQ34" s="5">
        <v>1</v>
      </c>
      <c r="AS34" t="s">
        <v>115</v>
      </c>
      <c r="AT34" t="s">
        <v>115</v>
      </c>
      <c r="AU34" t="s">
        <v>115</v>
      </c>
      <c r="AV34" t="s">
        <v>115</v>
      </c>
      <c r="AW34" t="s">
        <v>115</v>
      </c>
      <c r="AX34" t="s">
        <v>115</v>
      </c>
      <c r="AY34" t="s">
        <v>117</v>
      </c>
      <c r="AZ34">
        <v>20</v>
      </c>
      <c r="BA34">
        <v>20</v>
      </c>
      <c r="BB34">
        <v>20</v>
      </c>
      <c r="BC34">
        <v>5</v>
      </c>
      <c r="BD34">
        <v>5</v>
      </c>
      <c r="BE34">
        <v>20</v>
      </c>
      <c r="BF34">
        <v>1</v>
      </c>
      <c r="BG34" t="s">
        <v>118</v>
      </c>
      <c r="BH34" t="s">
        <v>134</v>
      </c>
      <c r="BI34" t="b">
        <v>1</v>
      </c>
      <c r="BJ34">
        <v>1</v>
      </c>
      <c r="BK34">
        <v>1</v>
      </c>
      <c r="BL34" t="s">
        <v>115</v>
      </c>
      <c r="BM34" t="s">
        <v>115</v>
      </c>
      <c r="BN34">
        <v>0</v>
      </c>
      <c r="BO34">
        <v>1810670</v>
      </c>
      <c r="BP34">
        <v>0</v>
      </c>
      <c r="BQ34">
        <v>5</v>
      </c>
      <c r="BR34">
        <v>20</v>
      </c>
      <c r="BS34">
        <v>100000007</v>
      </c>
      <c r="BT34" t="s">
        <v>146</v>
      </c>
    </row>
    <row r="35" spans="1:72" x14ac:dyDescent="0.25">
      <c r="A35" s="5">
        <v>45838</v>
      </c>
      <c r="B35" t="s">
        <v>95</v>
      </c>
      <c r="C35">
        <v>12</v>
      </c>
      <c r="D35">
        <v>100000001</v>
      </c>
      <c r="E35">
        <v>8</v>
      </c>
      <c r="F35">
        <v>8</v>
      </c>
      <c r="G35" t="s">
        <v>96</v>
      </c>
      <c r="H35" t="s">
        <v>124</v>
      </c>
      <c r="I35">
        <v>1</v>
      </c>
      <c r="J35">
        <v>163186</v>
      </c>
      <c r="K35">
        <v>56318047</v>
      </c>
      <c r="L35" t="s">
        <v>98</v>
      </c>
      <c r="M35">
        <v>1</v>
      </c>
      <c r="N35" s="3" t="s">
        <v>99</v>
      </c>
      <c r="O35">
        <v>1</v>
      </c>
      <c r="P35">
        <v>2</v>
      </c>
      <c r="Q35">
        <v>0</v>
      </c>
      <c r="R35">
        <v>0</v>
      </c>
      <c r="S35">
        <v>0</v>
      </c>
      <c r="U35" t="s">
        <v>101</v>
      </c>
      <c r="V35">
        <v>238942341</v>
      </c>
      <c r="W35" t="str">
        <f t="shared" si="0"/>
        <v>Security 34</v>
      </c>
      <c r="X35" t="s">
        <v>106</v>
      </c>
      <c r="Y35" t="s">
        <v>96</v>
      </c>
      <c r="Z35" t="s">
        <v>96</v>
      </c>
      <c r="AA35" t="s">
        <v>107</v>
      </c>
      <c r="AB35" t="s">
        <v>107</v>
      </c>
      <c r="AC35" t="s">
        <v>107</v>
      </c>
      <c r="AD35" t="s">
        <v>96</v>
      </c>
      <c r="AE35" t="s">
        <v>96</v>
      </c>
      <c r="AF35" t="s">
        <v>108</v>
      </c>
      <c r="AG35" t="b">
        <v>0</v>
      </c>
      <c r="AH35" t="s">
        <v>96</v>
      </c>
      <c r="AI35" t="s">
        <v>107</v>
      </c>
      <c r="AJ35" t="s">
        <v>109</v>
      </c>
      <c r="AL35">
        <v>1</v>
      </c>
      <c r="AM35">
        <v>0.25</v>
      </c>
      <c r="AN35" t="s">
        <v>111</v>
      </c>
      <c r="AO35" t="s">
        <v>112</v>
      </c>
      <c r="AP35" t="s">
        <v>113</v>
      </c>
      <c r="AQ35" s="5">
        <v>45839</v>
      </c>
      <c r="AR35" s="5">
        <v>45839</v>
      </c>
      <c r="AS35" t="s">
        <v>115</v>
      </c>
      <c r="AT35" t="s">
        <v>115</v>
      </c>
      <c r="AU35" t="s">
        <v>115</v>
      </c>
      <c r="AV35" t="s">
        <v>115</v>
      </c>
      <c r="AW35" t="s">
        <v>115</v>
      </c>
      <c r="AX35" t="s">
        <v>115</v>
      </c>
      <c r="AY35" t="s">
        <v>116</v>
      </c>
      <c r="AZ35">
        <v>5</v>
      </c>
      <c r="BA35">
        <v>20</v>
      </c>
      <c r="BB35">
        <v>20</v>
      </c>
      <c r="BC35">
        <v>5</v>
      </c>
      <c r="BD35">
        <v>5</v>
      </c>
      <c r="BE35">
        <v>5</v>
      </c>
      <c r="BF35">
        <v>1</v>
      </c>
      <c r="BG35" t="s">
        <v>118</v>
      </c>
      <c r="BH35" t="s">
        <v>119</v>
      </c>
      <c r="BI35" t="b">
        <v>1</v>
      </c>
      <c r="BJ35">
        <v>0</v>
      </c>
      <c r="BK35">
        <v>0</v>
      </c>
      <c r="BL35" t="s">
        <v>115</v>
      </c>
      <c r="BM35" t="s">
        <v>115</v>
      </c>
      <c r="BN35">
        <v>20000</v>
      </c>
      <c r="BO35">
        <v>14584290</v>
      </c>
      <c r="BQ35">
        <v>0</v>
      </c>
      <c r="BR35">
        <v>0</v>
      </c>
      <c r="BS35">
        <v>100000008</v>
      </c>
      <c r="BT35" t="s">
        <v>148</v>
      </c>
    </row>
    <row r="36" spans="1:72" x14ac:dyDescent="0.25">
      <c r="A36" s="5">
        <v>45838</v>
      </c>
      <c r="B36" t="s">
        <v>95</v>
      </c>
      <c r="C36">
        <v>12</v>
      </c>
      <c r="D36">
        <v>100000001</v>
      </c>
      <c r="E36">
        <v>8</v>
      </c>
      <c r="F36">
        <v>8</v>
      </c>
      <c r="G36" t="s">
        <v>96</v>
      </c>
      <c r="H36" t="s">
        <v>124</v>
      </c>
      <c r="I36">
        <v>1</v>
      </c>
      <c r="J36">
        <v>163186</v>
      </c>
      <c r="K36">
        <v>70964215</v>
      </c>
      <c r="L36" t="s">
        <v>98</v>
      </c>
      <c r="M36">
        <v>1</v>
      </c>
      <c r="N36" s="3" t="s">
        <v>99</v>
      </c>
      <c r="O36">
        <v>1</v>
      </c>
      <c r="P36">
        <v>2</v>
      </c>
      <c r="Q36">
        <v>5</v>
      </c>
      <c r="R36">
        <v>0</v>
      </c>
      <c r="S36">
        <v>5</v>
      </c>
      <c r="T36" t="s">
        <v>100</v>
      </c>
      <c r="U36" t="s">
        <v>101</v>
      </c>
      <c r="V36">
        <v>4326234625</v>
      </c>
      <c r="W36" t="str">
        <f t="shared" si="0"/>
        <v>Security 35</v>
      </c>
      <c r="X36" t="s">
        <v>106</v>
      </c>
      <c r="Y36" t="s">
        <v>107</v>
      </c>
      <c r="Z36" t="s">
        <v>96</v>
      </c>
      <c r="AA36" t="s">
        <v>107</v>
      </c>
      <c r="AB36" t="s">
        <v>107</v>
      </c>
      <c r="AC36" t="s">
        <v>107</v>
      </c>
      <c r="AD36" t="s">
        <v>96</v>
      </c>
      <c r="AE36" t="s">
        <v>96</v>
      </c>
      <c r="AF36" t="s">
        <v>108</v>
      </c>
      <c r="AG36" t="b">
        <v>0</v>
      </c>
      <c r="AH36" t="s">
        <v>96</v>
      </c>
      <c r="AI36" t="s">
        <v>107</v>
      </c>
      <c r="AJ36" t="s">
        <v>109</v>
      </c>
      <c r="AL36">
        <v>1</v>
      </c>
      <c r="AM36">
        <v>0.25</v>
      </c>
      <c r="AN36" t="s">
        <v>111</v>
      </c>
      <c r="AO36" t="s">
        <v>112</v>
      </c>
      <c r="AP36" t="s">
        <v>113</v>
      </c>
      <c r="AQ36" s="5">
        <v>45839</v>
      </c>
      <c r="AR36" s="5">
        <v>45839</v>
      </c>
      <c r="AS36" t="s">
        <v>115</v>
      </c>
      <c r="AT36" t="s">
        <v>115</v>
      </c>
      <c r="AU36" t="s">
        <v>115</v>
      </c>
      <c r="AV36" t="s">
        <v>115</v>
      </c>
      <c r="AW36" t="s">
        <v>115</v>
      </c>
      <c r="AX36" t="s">
        <v>115</v>
      </c>
      <c r="AY36" t="s">
        <v>116</v>
      </c>
      <c r="AZ36">
        <v>5</v>
      </c>
      <c r="BA36">
        <v>20</v>
      </c>
      <c r="BB36">
        <v>20</v>
      </c>
      <c r="BC36">
        <v>5</v>
      </c>
      <c r="BD36">
        <v>5</v>
      </c>
      <c r="BE36">
        <v>5</v>
      </c>
      <c r="BF36">
        <v>1</v>
      </c>
      <c r="BG36" t="s">
        <v>118</v>
      </c>
      <c r="BH36" t="s">
        <v>119</v>
      </c>
      <c r="BI36" t="b">
        <v>1</v>
      </c>
      <c r="BJ36">
        <v>1</v>
      </c>
      <c r="BK36">
        <v>1</v>
      </c>
      <c r="BL36" t="s">
        <v>115</v>
      </c>
      <c r="BM36" t="s">
        <v>115</v>
      </c>
      <c r="BN36">
        <v>12341</v>
      </c>
      <c r="BP36">
        <v>11419335.6</v>
      </c>
      <c r="BQ36">
        <v>5</v>
      </c>
      <c r="BR36">
        <v>20</v>
      </c>
      <c r="BS36">
        <v>100000008</v>
      </c>
      <c r="BT36" t="s">
        <v>148</v>
      </c>
    </row>
    <row r="37" spans="1:72" x14ac:dyDescent="0.25">
      <c r="A37" s="5">
        <v>45838</v>
      </c>
      <c r="B37" t="s">
        <v>95</v>
      </c>
      <c r="C37">
        <v>12</v>
      </c>
      <c r="D37">
        <v>100000001</v>
      </c>
      <c r="E37">
        <v>8</v>
      </c>
      <c r="F37">
        <v>8</v>
      </c>
      <c r="G37" t="s">
        <v>96</v>
      </c>
      <c r="H37" t="s">
        <v>124</v>
      </c>
      <c r="I37">
        <v>1</v>
      </c>
      <c r="J37">
        <v>163186</v>
      </c>
      <c r="K37">
        <v>87135960</v>
      </c>
      <c r="L37" t="s">
        <v>98</v>
      </c>
      <c r="M37">
        <v>1</v>
      </c>
      <c r="N37" s="3" t="s">
        <v>99</v>
      </c>
      <c r="O37">
        <v>1</v>
      </c>
      <c r="P37">
        <v>2</v>
      </c>
      <c r="Q37">
        <v>5</v>
      </c>
      <c r="R37">
        <v>0</v>
      </c>
      <c r="S37">
        <v>5</v>
      </c>
      <c r="T37" t="s">
        <v>100</v>
      </c>
      <c r="U37" t="s">
        <v>101</v>
      </c>
      <c r="V37">
        <v>325412343</v>
      </c>
      <c r="W37" t="str">
        <f t="shared" si="0"/>
        <v>Security 36</v>
      </c>
      <c r="X37" t="s">
        <v>106</v>
      </c>
      <c r="Y37" t="s">
        <v>107</v>
      </c>
      <c r="Z37" t="s">
        <v>96</v>
      </c>
      <c r="AA37" t="s">
        <v>107</v>
      </c>
      <c r="AB37" t="s">
        <v>107</v>
      </c>
      <c r="AC37" t="s">
        <v>107</v>
      </c>
      <c r="AD37" t="s">
        <v>96</v>
      </c>
      <c r="AE37" t="s">
        <v>96</v>
      </c>
      <c r="AF37" t="s">
        <v>108</v>
      </c>
      <c r="AG37" t="b">
        <v>0</v>
      </c>
      <c r="AH37" t="s">
        <v>96</v>
      </c>
      <c r="AI37" t="s">
        <v>107</v>
      </c>
      <c r="AJ37" t="s">
        <v>109</v>
      </c>
      <c r="AL37">
        <v>1</v>
      </c>
      <c r="AM37">
        <v>0.15</v>
      </c>
      <c r="AN37" t="s">
        <v>111</v>
      </c>
      <c r="AO37" t="s">
        <v>112</v>
      </c>
      <c r="AP37" t="s">
        <v>113</v>
      </c>
      <c r="AQ37" s="5">
        <v>45839</v>
      </c>
      <c r="AR37" s="5">
        <v>45839</v>
      </c>
      <c r="AS37" t="s">
        <v>115</v>
      </c>
      <c r="AT37" t="s">
        <v>115</v>
      </c>
      <c r="AU37" t="s">
        <v>115</v>
      </c>
      <c r="AV37" t="s">
        <v>115</v>
      </c>
      <c r="AW37" t="s">
        <v>115</v>
      </c>
      <c r="AX37" t="s">
        <v>115</v>
      </c>
      <c r="AY37" t="s">
        <v>117</v>
      </c>
      <c r="AZ37">
        <v>5</v>
      </c>
      <c r="BA37">
        <v>20</v>
      </c>
      <c r="BB37">
        <v>20</v>
      </c>
      <c r="BC37">
        <v>5</v>
      </c>
      <c r="BD37">
        <v>5</v>
      </c>
      <c r="BE37">
        <v>5</v>
      </c>
      <c r="BF37">
        <v>1</v>
      </c>
      <c r="BG37" t="s">
        <v>118</v>
      </c>
      <c r="BH37" t="s">
        <v>119</v>
      </c>
      <c r="BI37" t="b">
        <v>1</v>
      </c>
      <c r="BJ37">
        <v>1</v>
      </c>
      <c r="BK37">
        <v>1</v>
      </c>
      <c r="BL37" t="s">
        <v>115</v>
      </c>
      <c r="BM37" t="s">
        <v>115</v>
      </c>
      <c r="BN37">
        <v>10000</v>
      </c>
      <c r="BP37">
        <v>14013969</v>
      </c>
      <c r="BQ37">
        <v>5</v>
      </c>
      <c r="BR37">
        <v>20</v>
      </c>
      <c r="BS37">
        <v>100000008</v>
      </c>
      <c r="BT37" t="s">
        <v>148</v>
      </c>
    </row>
    <row r="38" spans="1:72" x14ac:dyDescent="0.25">
      <c r="A38" s="5">
        <v>45838</v>
      </c>
      <c r="B38" t="s">
        <v>95</v>
      </c>
      <c r="C38">
        <v>12</v>
      </c>
      <c r="D38">
        <v>100000001</v>
      </c>
      <c r="E38">
        <v>8</v>
      </c>
      <c r="F38">
        <v>8</v>
      </c>
      <c r="G38" t="s">
        <v>96</v>
      </c>
      <c r="H38" t="s">
        <v>124</v>
      </c>
      <c r="I38">
        <v>1</v>
      </c>
      <c r="J38">
        <v>163186</v>
      </c>
      <c r="K38">
        <v>43021897</v>
      </c>
      <c r="L38" t="s">
        <v>98</v>
      </c>
      <c r="M38">
        <v>1</v>
      </c>
      <c r="N38" s="3" t="s">
        <v>99</v>
      </c>
      <c r="O38">
        <v>1</v>
      </c>
      <c r="P38">
        <v>2</v>
      </c>
      <c r="Q38">
        <v>5</v>
      </c>
      <c r="R38">
        <v>0</v>
      </c>
      <c r="S38">
        <v>20</v>
      </c>
      <c r="T38" t="s">
        <v>100</v>
      </c>
      <c r="U38" t="s">
        <v>101</v>
      </c>
      <c r="V38" t="s">
        <v>147</v>
      </c>
      <c r="W38" t="str">
        <f t="shared" si="0"/>
        <v>Security 37</v>
      </c>
      <c r="X38" t="s">
        <v>106</v>
      </c>
      <c r="Y38" t="s">
        <v>107</v>
      </c>
      <c r="Z38" t="s">
        <v>96</v>
      </c>
      <c r="AA38" t="s">
        <v>96</v>
      </c>
      <c r="AB38" t="s">
        <v>107</v>
      </c>
      <c r="AC38" t="s">
        <v>107</v>
      </c>
      <c r="AD38" t="s">
        <v>96</v>
      </c>
      <c r="AE38" t="s">
        <v>96</v>
      </c>
      <c r="AF38" t="s">
        <v>108</v>
      </c>
      <c r="AG38" t="b">
        <v>0</v>
      </c>
      <c r="AH38" t="s">
        <v>96</v>
      </c>
      <c r="AI38" t="s">
        <v>107</v>
      </c>
      <c r="AJ38" t="s">
        <v>109</v>
      </c>
      <c r="AL38">
        <v>1</v>
      </c>
      <c r="AM38">
        <v>0.25</v>
      </c>
      <c r="AN38" t="s">
        <v>111</v>
      </c>
      <c r="AO38" t="s">
        <v>112</v>
      </c>
      <c r="AP38" t="s">
        <v>113</v>
      </c>
      <c r="AQ38" s="5">
        <v>45841</v>
      </c>
      <c r="AR38" s="5">
        <v>45841</v>
      </c>
      <c r="AS38" t="s">
        <v>115</v>
      </c>
      <c r="AT38" t="s">
        <v>115</v>
      </c>
      <c r="AU38" t="s">
        <v>115</v>
      </c>
      <c r="AV38" t="s">
        <v>115</v>
      </c>
      <c r="AW38" t="s">
        <v>115</v>
      </c>
      <c r="AX38" t="s">
        <v>115</v>
      </c>
      <c r="AY38" t="s">
        <v>116</v>
      </c>
      <c r="AZ38">
        <v>5</v>
      </c>
      <c r="BA38">
        <v>20</v>
      </c>
      <c r="BB38">
        <v>20</v>
      </c>
      <c r="BC38">
        <v>5</v>
      </c>
      <c r="BD38">
        <v>5</v>
      </c>
      <c r="BE38">
        <v>5</v>
      </c>
      <c r="BF38">
        <v>1</v>
      </c>
      <c r="BG38" t="s">
        <v>118</v>
      </c>
      <c r="BH38" t="s">
        <v>119</v>
      </c>
      <c r="BI38" t="b">
        <v>1</v>
      </c>
      <c r="BJ38">
        <v>0</v>
      </c>
      <c r="BK38">
        <v>1</v>
      </c>
      <c r="BL38" t="s">
        <v>115</v>
      </c>
      <c r="BM38" t="s">
        <v>115</v>
      </c>
      <c r="BN38">
        <v>10000</v>
      </c>
      <c r="BP38">
        <v>4680507</v>
      </c>
      <c r="BQ38">
        <v>5</v>
      </c>
      <c r="BR38">
        <v>20</v>
      </c>
      <c r="BS38">
        <v>100000008</v>
      </c>
      <c r="BT38" t="s">
        <v>148</v>
      </c>
    </row>
    <row r="39" spans="1:72" x14ac:dyDescent="0.25">
      <c r="A39" s="5">
        <v>45838</v>
      </c>
      <c r="B39" t="s">
        <v>95</v>
      </c>
      <c r="C39">
        <v>12</v>
      </c>
      <c r="D39">
        <v>100000001</v>
      </c>
      <c r="E39">
        <v>9</v>
      </c>
      <c r="F39">
        <v>9</v>
      </c>
      <c r="G39" t="s">
        <v>96</v>
      </c>
      <c r="H39" t="s">
        <v>124</v>
      </c>
      <c r="I39">
        <v>1</v>
      </c>
      <c r="J39">
        <v>163186</v>
      </c>
      <c r="K39">
        <v>63057423</v>
      </c>
      <c r="L39" t="s">
        <v>98</v>
      </c>
      <c r="M39">
        <v>1</v>
      </c>
      <c r="N39" s="3" t="s">
        <v>99</v>
      </c>
      <c r="O39">
        <v>1</v>
      </c>
      <c r="P39">
        <v>2</v>
      </c>
      <c r="Q39">
        <v>5</v>
      </c>
      <c r="R39">
        <v>0</v>
      </c>
      <c r="S39">
        <v>5</v>
      </c>
      <c r="T39" t="s">
        <v>100</v>
      </c>
      <c r="U39" t="s">
        <v>101</v>
      </c>
      <c r="V39">
        <v>43291048</v>
      </c>
      <c r="W39" t="str">
        <f t="shared" si="0"/>
        <v>Security 38</v>
      </c>
      <c r="X39" t="s">
        <v>106</v>
      </c>
      <c r="Y39" t="s">
        <v>107</v>
      </c>
      <c r="Z39" t="s">
        <v>96</v>
      </c>
      <c r="AA39" t="s">
        <v>107</v>
      </c>
      <c r="AB39" t="s">
        <v>107</v>
      </c>
      <c r="AC39" t="s">
        <v>107</v>
      </c>
      <c r="AD39" t="s">
        <v>96</v>
      </c>
      <c r="AE39" t="s">
        <v>96</v>
      </c>
      <c r="AF39" t="s">
        <v>108</v>
      </c>
      <c r="AG39" t="b">
        <v>0</v>
      </c>
      <c r="AH39" t="s">
        <v>96</v>
      </c>
      <c r="AI39" t="s">
        <v>107</v>
      </c>
      <c r="AJ39" t="s">
        <v>109</v>
      </c>
      <c r="AL39">
        <v>1</v>
      </c>
      <c r="AM39">
        <v>0.15</v>
      </c>
      <c r="AN39" t="s">
        <v>111</v>
      </c>
      <c r="AO39" t="s">
        <v>112</v>
      </c>
      <c r="AP39" t="s">
        <v>113</v>
      </c>
      <c r="AQ39" s="5">
        <v>45841</v>
      </c>
      <c r="AR39" s="5">
        <v>45841</v>
      </c>
      <c r="AS39" t="s">
        <v>115</v>
      </c>
      <c r="AT39" t="s">
        <v>115</v>
      </c>
      <c r="AU39" t="s">
        <v>115</v>
      </c>
      <c r="AV39" t="s">
        <v>115</v>
      </c>
      <c r="AW39" t="s">
        <v>115</v>
      </c>
      <c r="AX39" t="s">
        <v>115</v>
      </c>
      <c r="AY39" t="s">
        <v>116</v>
      </c>
      <c r="AZ39">
        <v>5</v>
      </c>
      <c r="BA39">
        <v>20</v>
      </c>
      <c r="BB39">
        <v>20</v>
      </c>
      <c r="BC39">
        <v>5</v>
      </c>
      <c r="BD39">
        <v>5</v>
      </c>
      <c r="BE39">
        <v>5</v>
      </c>
      <c r="BF39">
        <v>1</v>
      </c>
      <c r="BG39" t="s">
        <v>118</v>
      </c>
      <c r="BH39" t="s">
        <v>119</v>
      </c>
      <c r="BI39" t="b">
        <v>1</v>
      </c>
      <c r="BJ39">
        <v>1</v>
      </c>
      <c r="BK39">
        <v>1</v>
      </c>
      <c r="BL39" t="s">
        <v>115</v>
      </c>
      <c r="BM39" t="s">
        <v>115</v>
      </c>
      <c r="BN39">
        <v>10000</v>
      </c>
      <c r="BO39">
        <v>0</v>
      </c>
      <c r="BP39">
        <v>8329834</v>
      </c>
      <c r="BQ39">
        <v>5</v>
      </c>
      <c r="BR39">
        <v>20</v>
      </c>
      <c r="BS39">
        <v>100000009</v>
      </c>
      <c r="BT39" t="s">
        <v>149</v>
      </c>
    </row>
    <row r="40" spans="1:72" x14ac:dyDescent="0.25">
      <c r="A40" s="5">
        <v>45838</v>
      </c>
      <c r="B40" t="s">
        <v>95</v>
      </c>
      <c r="C40">
        <v>12</v>
      </c>
      <c r="D40">
        <v>100000001</v>
      </c>
      <c r="E40">
        <v>9</v>
      </c>
      <c r="F40">
        <v>9</v>
      </c>
      <c r="G40" t="s">
        <v>96</v>
      </c>
      <c r="H40" t="s">
        <v>124</v>
      </c>
      <c r="I40">
        <v>15</v>
      </c>
      <c r="J40">
        <v>163186</v>
      </c>
      <c r="K40">
        <v>15842971</v>
      </c>
      <c r="L40" t="s">
        <v>98</v>
      </c>
      <c r="M40">
        <v>1</v>
      </c>
      <c r="N40" s="3" t="s">
        <v>99</v>
      </c>
      <c r="O40">
        <v>1</v>
      </c>
      <c r="P40">
        <v>2</v>
      </c>
      <c r="Q40">
        <v>5</v>
      </c>
      <c r="R40">
        <v>0</v>
      </c>
      <c r="S40">
        <v>5</v>
      </c>
      <c r="T40" t="s">
        <v>100</v>
      </c>
      <c r="U40" t="s">
        <v>101</v>
      </c>
      <c r="V40">
        <v>52252344</v>
      </c>
      <c r="W40" t="str">
        <f t="shared" si="0"/>
        <v>Security 39</v>
      </c>
      <c r="X40" t="s">
        <v>106</v>
      </c>
      <c r="Y40" t="s">
        <v>107</v>
      </c>
      <c r="Z40" t="s">
        <v>96</v>
      </c>
      <c r="AA40" t="s">
        <v>107</v>
      </c>
      <c r="AB40" t="s">
        <v>107</v>
      </c>
      <c r="AC40" t="s">
        <v>107</v>
      </c>
      <c r="AD40" t="s">
        <v>96</v>
      </c>
      <c r="AE40" t="s">
        <v>96</v>
      </c>
      <c r="AF40" t="s">
        <v>108</v>
      </c>
      <c r="AG40" t="b">
        <v>0</v>
      </c>
      <c r="AH40" t="s">
        <v>96</v>
      </c>
      <c r="AI40" t="s">
        <v>107</v>
      </c>
      <c r="AJ40" t="s">
        <v>109</v>
      </c>
      <c r="AL40">
        <v>1</v>
      </c>
      <c r="AM40">
        <v>0.25</v>
      </c>
      <c r="AN40" t="s">
        <v>111</v>
      </c>
      <c r="AO40" t="s">
        <v>112</v>
      </c>
      <c r="AP40" t="s">
        <v>113</v>
      </c>
      <c r="AQ40" s="5">
        <v>45841</v>
      </c>
      <c r="AR40" s="5">
        <v>45841</v>
      </c>
      <c r="AS40" t="s">
        <v>115</v>
      </c>
      <c r="AT40" t="s">
        <v>115</v>
      </c>
      <c r="AU40" t="s">
        <v>115</v>
      </c>
      <c r="AW40" t="s">
        <v>115</v>
      </c>
      <c r="AX40" t="s">
        <v>115</v>
      </c>
      <c r="AY40" t="s">
        <v>117</v>
      </c>
      <c r="AZ40">
        <v>5</v>
      </c>
      <c r="BA40">
        <v>20</v>
      </c>
      <c r="BB40">
        <v>20</v>
      </c>
      <c r="BC40">
        <v>5</v>
      </c>
      <c r="BD40">
        <v>5</v>
      </c>
      <c r="BE40">
        <v>5</v>
      </c>
      <c r="BF40">
        <v>1</v>
      </c>
      <c r="BG40" t="s">
        <v>118</v>
      </c>
      <c r="BH40" t="s">
        <v>119</v>
      </c>
      <c r="BI40" t="b">
        <v>1</v>
      </c>
      <c r="BJ40">
        <v>1</v>
      </c>
      <c r="BK40">
        <v>1</v>
      </c>
      <c r="BL40" t="s">
        <v>115</v>
      </c>
      <c r="BN40">
        <v>10000</v>
      </c>
      <c r="BO40">
        <v>0</v>
      </c>
      <c r="BP40">
        <v>5078329</v>
      </c>
      <c r="BQ40">
        <v>5</v>
      </c>
      <c r="BR40">
        <v>20</v>
      </c>
      <c r="BS40">
        <v>100000009</v>
      </c>
      <c r="BT40" t="s">
        <v>149</v>
      </c>
    </row>
    <row r="41" spans="1:72" x14ac:dyDescent="0.25">
      <c r="A41" s="5">
        <v>45838</v>
      </c>
      <c r="B41" t="s">
        <v>95</v>
      </c>
      <c r="C41">
        <v>12</v>
      </c>
      <c r="D41">
        <v>100000001</v>
      </c>
      <c r="E41">
        <v>9</v>
      </c>
      <c r="F41">
        <v>9</v>
      </c>
      <c r="G41" t="s">
        <v>96</v>
      </c>
      <c r="H41" t="s">
        <v>124</v>
      </c>
      <c r="I41">
        <v>1</v>
      </c>
      <c r="J41">
        <v>163186</v>
      </c>
      <c r="K41">
        <v>297530132</v>
      </c>
      <c r="L41" t="s">
        <v>98</v>
      </c>
      <c r="M41">
        <v>1</v>
      </c>
      <c r="N41" s="3" t="s">
        <v>99</v>
      </c>
      <c r="O41">
        <v>1</v>
      </c>
      <c r="P41">
        <v>2</v>
      </c>
      <c r="Q41">
        <v>5</v>
      </c>
      <c r="R41">
        <v>0</v>
      </c>
      <c r="S41">
        <v>5</v>
      </c>
      <c r="T41" t="s">
        <v>100</v>
      </c>
      <c r="U41" t="s">
        <v>101</v>
      </c>
      <c r="V41">
        <v>24352523</v>
      </c>
      <c r="W41" t="str">
        <f t="shared" si="0"/>
        <v>Security 40</v>
      </c>
      <c r="X41" t="s">
        <v>106</v>
      </c>
      <c r="Y41" t="s">
        <v>107</v>
      </c>
      <c r="Z41" t="s">
        <v>96</v>
      </c>
      <c r="AA41" t="s">
        <v>107</v>
      </c>
      <c r="AB41" t="s">
        <v>107</v>
      </c>
      <c r="AC41" t="s">
        <v>107</v>
      </c>
      <c r="AD41" t="s">
        <v>96</v>
      </c>
      <c r="AE41" t="s">
        <v>96</v>
      </c>
      <c r="AF41" t="s">
        <v>108</v>
      </c>
      <c r="AG41" t="b">
        <v>0</v>
      </c>
      <c r="AH41" t="s">
        <v>96</v>
      </c>
      <c r="AI41" t="s">
        <v>107</v>
      </c>
      <c r="AJ41" t="s">
        <v>109</v>
      </c>
      <c r="AL41">
        <v>1</v>
      </c>
      <c r="AM41">
        <v>0.25</v>
      </c>
      <c r="AN41" t="s">
        <v>111</v>
      </c>
      <c r="AO41" t="s">
        <v>112</v>
      </c>
      <c r="AP41" t="s">
        <v>113</v>
      </c>
      <c r="AQ41" s="5">
        <v>45841</v>
      </c>
      <c r="AR41" s="5">
        <v>45841</v>
      </c>
      <c r="AS41" t="s">
        <v>115</v>
      </c>
      <c r="AT41" t="s">
        <v>115</v>
      </c>
      <c r="AU41" t="s">
        <v>115</v>
      </c>
      <c r="AV41" t="s">
        <v>115</v>
      </c>
      <c r="AW41" t="s">
        <v>115</v>
      </c>
      <c r="AX41" t="s">
        <v>115</v>
      </c>
      <c r="AY41" t="s">
        <v>117</v>
      </c>
      <c r="AZ41">
        <v>5</v>
      </c>
      <c r="BA41">
        <v>20</v>
      </c>
      <c r="BB41">
        <v>20</v>
      </c>
      <c r="BC41">
        <v>5</v>
      </c>
      <c r="BD41">
        <v>5</v>
      </c>
      <c r="BE41">
        <v>5</v>
      </c>
      <c r="BF41">
        <v>1</v>
      </c>
      <c r="BG41" t="s">
        <v>118</v>
      </c>
      <c r="BH41" t="s">
        <v>119</v>
      </c>
      <c r="BI41" t="b">
        <v>1</v>
      </c>
      <c r="BJ41">
        <v>1</v>
      </c>
      <c r="BK41">
        <v>1</v>
      </c>
      <c r="BL41" t="s">
        <v>115</v>
      </c>
      <c r="BM41" t="s">
        <v>115</v>
      </c>
      <c r="BN41">
        <v>10000</v>
      </c>
      <c r="BO41">
        <v>0</v>
      </c>
      <c r="BP41">
        <v>28000000</v>
      </c>
      <c r="BQ41">
        <v>5</v>
      </c>
      <c r="BR41">
        <v>20</v>
      </c>
      <c r="BS41">
        <v>100000009</v>
      </c>
      <c r="BT41" t="s">
        <v>149</v>
      </c>
    </row>
    <row r="42" spans="1:72" x14ac:dyDescent="0.25">
      <c r="A42" s="5">
        <v>45838</v>
      </c>
      <c r="B42" t="s">
        <v>95</v>
      </c>
      <c r="C42">
        <v>12</v>
      </c>
      <c r="D42">
        <v>100000001</v>
      </c>
      <c r="E42">
        <v>10</v>
      </c>
      <c r="F42">
        <v>10</v>
      </c>
      <c r="G42" t="s">
        <v>96</v>
      </c>
      <c r="H42" t="s">
        <v>124</v>
      </c>
      <c r="I42">
        <v>1</v>
      </c>
      <c r="J42">
        <v>163186</v>
      </c>
      <c r="K42">
        <v>78630255</v>
      </c>
      <c r="L42" t="s">
        <v>98</v>
      </c>
      <c r="M42">
        <v>1</v>
      </c>
      <c r="N42" s="3" t="s">
        <v>99</v>
      </c>
      <c r="O42">
        <v>1</v>
      </c>
      <c r="P42">
        <v>2</v>
      </c>
      <c r="Q42">
        <v>5</v>
      </c>
      <c r="R42">
        <v>0</v>
      </c>
      <c r="S42">
        <v>5</v>
      </c>
      <c r="T42" t="s">
        <v>100</v>
      </c>
      <c r="U42" t="s">
        <v>101</v>
      </c>
      <c r="V42" t="s">
        <v>150</v>
      </c>
      <c r="W42" t="str">
        <f t="shared" si="0"/>
        <v>Security 41</v>
      </c>
      <c r="X42" t="s">
        <v>106</v>
      </c>
      <c r="Y42" t="s">
        <v>107</v>
      </c>
      <c r="Z42" t="s">
        <v>96</v>
      </c>
      <c r="AA42" t="s">
        <v>107</v>
      </c>
      <c r="AB42" t="s">
        <v>107</v>
      </c>
      <c r="AC42" t="s">
        <v>107</v>
      </c>
      <c r="AD42" t="s">
        <v>96</v>
      </c>
      <c r="AE42" t="s">
        <v>96</v>
      </c>
      <c r="AF42" t="s">
        <v>108</v>
      </c>
      <c r="AG42" t="b">
        <v>0</v>
      </c>
      <c r="AH42" t="s">
        <v>96</v>
      </c>
      <c r="AI42" t="s">
        <v>107</v>
      </c>
      <c r="AJ42" t="s">
        <v>109</v>
      </c>
      <c r="AL42">
        <v>1</v>
      </c>
      <c r="AM42">
        <v>0.25</v>
      </c>
      <c r="AN42" t="s">
        <v>111</v>
      </c>
      <c r="AO42" t="s">
        <v>112</v>
      </c>
      <c r="AP42" t="s">
        <v>113</v>
      </c>
      <c r="AQ42" s="5">
        <v>45841</v>
      </c>
      <c r="AR42" s="5">
        <v>45841</v>
      </c>
      <c r="AS42" t="s">
        <v>115</v>
      </c>
      <c r="AT42" t="s">
        <v>115</v>
      </c>
      <c r="AU42" t="s">
        <v>115</v>
      </c>
      <c r="AV42" t="str">
        <f t="shared" ref="AV42:AV45" si="6">IF(OR(AT42="",AT42="null"),AX42,AT42)</f>
        <v>USD</v>
      </c>
      <c r="AW42" t="s">
        <v>115</v>
      </c>
      <c r="AX42" t="s">
        <v>115</v>
      </c>
      <c r="AY42" t="s">
        <v>117</v>
      </c>
      <c r="AZ42">
        <v>5</v>
      </c>
      <c r="BA42">
        <v>20</v>
      </c>
      <c r="BB42">
        <v>20</v>
      </c>
      <c r="BC42">
        <v>5</v>
      </c>
      <c r="BD42">
        <v>5</v>
      </c>
      <c r="BE42">
        <v>5</v>
      </c>
      <c r="BF42">
        <v>1</v>
      </c>
      <c r="BG42" t="s">
        <v>118</v>
      </c>
      <c r="BH42" t="s">
        <v>119</v>
      </c>
      <c r="BI42" t="b">
        <v>1</v>
      </c>
      <c r="BJ42">
        <v>1</v>
      </c>
      <c r="BK42">
        <v>1</v>
      </c>
      <c r="BL42" t="s">
        <v>115</v>
      </c>
      <c r="BM42" t="s">
        <v>115</v>
      </c>
      <c r="BN42">
        <v>8000</v>
      </c>
      <c r="BP42">
        <v>8799782</v>
      </c>
      <c r="BQ42">
        <v>5</v>
      </c>
      <c r="BR42">
        <v>20</v>
      </c>
      <c r="BS42">
        <v>100000010</v>
      </c>
      <c r="BT42" t="s">
        <v>152</v>
      </c>
    </row>
    <row r="43" spans="1:72" x14ac:dyDescent="0.25">
      <c r="A43" s="5">
        <v>45838</v>
      </c>
      <c r="B43" t="s">
        <v>95</v>
      </c>
      <c r="C43">
        <v>12</v>
      </c>
      <c r="D43">
        <v>100000001</v>
      </c>
      <c r="E43">
        <v>10</v>
      </c>
      <c r="F43">
        <v>10</v>
      </c>
      <c r="G43" t="s">
        <v>96</v>
      </c>
      <c r="H43" t="s">
        <v>124</v>
      </c>
      <c r="I43">
        <v>1</v>
      </c>
      <c r="J43">
        <v>163186</v>
      </c>
      <c r="K43">
        <v>45918726</v>
      </c>
      <c r="L43" t="s">
        <v>98</v>
      </c>
      <c r="M43">
        <v>1</v>
      </c>
      <c r="N43" s="3" t="s">
        <v>99</v>
      </c>
      <c r="O43">
        <v>1</v>
      </c>
      <c r="P43">
        <v>2</v>
      </c>
      <c r="Q43">
        <v>5</v>
      </c>
      <c r="R43">
        <v>0</v>
      </c>
      <c r="S43">
        <v>5</v>
      </c>
      <c r="T43" t="s">
        <v>100</v>
      </c>
      <c r="U43" t="s">
        <v>101</v>
      </c>
      <c r="V43">
        <v>29438204</v>
      </c>
      <c r="W43" t="str">
        <f t="shared" si="0"/>
        <v>Security 42</v>
      </c>
      <c r="X43" t="s">
        <v>106</v>
      </c>
      <c r="Y43" t="s">
        <v>107</v>
      </c>
      <c r="Z43" t="s">
        <v>96</v>
      </c>
      <c r="AA43" t="s">
        <v>107</v>
      </c>
      <c r="AB43" t="s">
        <v>107</v>
      </c>
      <c r="AC43" t="s">
        <v>107</v>
      </c>
      <c r="AD43" t="s">
        <v>96</v>
      </c>
      <c r="AE43" t="s">
        <v>96</v>
      </c>
      <c r="AF43" t="s">
        <v>108</v>
      </c>
      <c r="AG43" t="b">
        <v>0</v>
      </c>
      <c r="AH43" t="s">
        <v>96</v>
      </c>
      <c r="AI43" t="s">
        <v>107</v>
      </c>
      <c r="AJ43" t="s">
        <v>109</v>
      </c>
      <c r="AK43" t="s">
        <v>110</v>
      </c>
      <c r="AL43">
        <v>1</v>
      </c>
      <c r="AM43">
        <v>0.25</v>
      </c>
      <c r="AN43" t="s">
        <v>111</v>
      </c>
      <c r="AO43" t="s">
        <v>112</v>
      </c>
      <c r="AP43" t="s">
        <v>113</v>
      </c>
      <c r="AQ43" s="5">
        <v>45841</v>
      </c>
      <c r="AR43" s="5">
        <v>45841</v>
      </c>
      <c r="AS43" t="s">
        <v>115</v>
      </c>
      <c r="AT43" t="s">
        <v>115</v>
      </c>
      <c r="AU43" t="s">
        <v>115</v>
      </c>
      <c r="AV43" t="str">
        <f t="shared" si="6"/>
        <v>USD</v>
      </c>
      <c r="AW43" t="s">
        <v>115</v>
      </c>
      <c r="AX43" t="s">
        <v>115</v>
      </c>
      <c r="AY43" t="s">
        <v>116</v>
      </c>
      <c r="AZ43">
        <v>5</v>
      </c>
      <c r="BA43">
        <v>20</v>
      </c>
      <c r="BB43">
        <v>20</v>
      </c>
      <c r="BC43">
        <v>5</v>
      </c>
      <c r="BD43">
        <v>5</v>
      </c>
      <c r="BE43">
        <v>5</v>
      </c>
      <c r="BF43">
        <v>1</v>
      </c>
      <c r="BG43" t="s">
        <v>118</v>
      </c>
      <c r="BH43" t="s">
        <v>119</v>
      </c>
      <c r="BI43" t="b">
        <v>1</v>
      </c>
      <c r="BJ43">
        <v>1</v>
      </c>
      <c r="BK43">
        <v>1</v>
      </c>
      <c r="BL43" t="s">
        <v>115</v>
      </c>
      <c r="BM43" t="s">
        <v>115</v>
      </c>
      <c r="BN43">
        <v>1000</v>
      </c>
      <c r="BP43">
        <v>3316465</v>
      </c>
      <c r="BQ43">
        <v>5</v>
      </c>
      <c r="BR43">
        <v>20</v>
      </c>
      <c r="BS43">
        <v>100000010</v>
      </c>
      <c r="BT43" t="s">
        <v>152</v>
      </c>
    </row>
    <row r="44" spans="1:72" x14ac:dyDescent="0.25">
      <c r="A44" s="5">
        <v>45838</v>
      </c>
      <c r="B44" t="s">
        <v>95</v>
      </c>
      <c r="C44">
        <v>12</v>
      </c>
      <c r="D44">
        <v>100000001</v>
      </c>
      <c r="E44">
        <v>10</v>
      </c>
      <c r="F44">
        <v>10</v>
      </c>
      <c r="G44" t="s">
        <v>96</v>
      </c>
      <c r="H44" t="s">
        <v>124</v>
      </c>
      <c r="I44">
        <v>15</v>
      </c>
      <c r="J44">
        <v>163186</v>
      </c>
      <c r="K44">
        <v>98026346</v>
      </c>
      <c r="L44" t="s">
        <v>98</v>
      </c>
      <c r="M44">
        <v>1</v>
      </c>
      <c r="N44" s="3" t="s">
        <v>99</v>
      </c>
      <c r="O44">
        <v>1</v>
      </c>
      <c r="P44">
        <v>2</v>
      </c>
      <c r="Q44">
        <v>5</v>
      </c>
      <c r="R44">
        <v>0</v>
      </c>
      <c r="S44">
        <v>5</v>
      </c>
      <c r="T44" t="s">
        <v>100</v>
      </c>
      <c r="U44" t="s">
        <v>101</v>
      </c>
      <c r="V44" t="s">
        <v>151</v>
      </c>
      <c r="W44" t="str">
        <f t="shared" si="0"/>
        <v>Security 43</v>
      </c>
      <c r="X44" t="s">
        <v>106</v>
      </c>
      <c r="Y44" t="s">
        <v>107</v>
      </c>
      <c r="Z44" t="s">
        <v>96</v>
      </c>
      <c r="AA44" t="s">
        <v>107</v>
      </c>
      <c r="AB44" t="s">
        <v>107</v>
      </c>
      <c r="AC44" t="s">
        <v>107</v>
      </c>
      <c r="AD44" t="s">
        <v>96</v>
      </c>
      <c r="AE44" t="s">
        <v>96</v>
      </c>
      <c r="AF44" t="s">
        <v>108</v>
      </c>
      <c r="AG44" t="b">
        <v>0</v>
      </c>
      <c r="AH44" t="s">
        <v>96</v>
      </c>
      <c r="AI44" t="s">
        <v>107</v>
      </c>
      <c r="AJ44" t="s">
        <v>109</v>
      </c>
      <c r="AL44">
        <v>1</v>
      </c>
      <c r="AM44">
        <v>0.25</v>
      </c>
      <c r="AN44" t="s">
        <v>111</v>
      </c>
      <c r="AO44" t="s">
        <v>112</v>
      </c>
      <c r="AP44" t="s">
        <v>113</v>
      </c>
      <c r="AQ44" s="5">
        <v>45841</v>
      </c>
      <c r="AR44" s="5">
        <v>45841</v>
      </c>
      <c r="AS44" t="s">
        <v>115</v>
      </c>
      <c r="AT44" t="s">
        <v>115</v>
      </c>
      <c r="AV44" t="str">
        <f t="shared" si="6"/>
        <v>USD</v>
      </c>
      <c r="AW44" t="s">
        <v>115</v>
      </c>
      <c r="AX44" t="s">
        <v>115</v>
      </c>
      <c r="AY44" t="s">
        <v>116</v>
      </c>
      <c r="AZ44">
        <v>5</v>
      </c>
      <c r="BA44">
        <v>20</v>
      </c>
      <c r="BB44">
        <v>20</v>
      </c>
      <c r="BC44">
        <v>5</v>
      </c>
      <c r="BD44">
        <v>5</v>
      </c>
      <c r="BE44">
        <v>5</v>
      </c>
      <c r="BF44">
        <v>1</v>
      </c>
      <c r="BG44" t="s">
        <v>118</v>
      </c>
      <c r="BH44" t="s">
        <v>119</v>
      </c>
      <c r="BI44" t="b">
        <v>1</v>
      </c>
      <c r="BJ44">
        <v>1</v>
      </c>
      <c r="BK44">
        <v>1</v>
      </c>
      <c r="BM44" t="s">
        <v>115</v>
      </c>
      <c r="BN44">
        <v>20000</v>
      </c>
      <c r="BP44">
        <v>1584420</v>
      </c>
      <c r="BQ44">
        <v>5</v>
      </c>
      <c r="BR44">
        <v>20</v>
      </c>
      <c r="BS44">
        <v>100000010</v>
      </c>
      <c r="BT44" t="s">
        <v>152</v>
      </c>
    </row>
    <row r="45" spans="1:72" x14ac:dyDescent="0.25">
      <c r="A45" s="5">
        <v>45838</v>
      </c>
      <c r="B45" t="s">
        <v>95</v>
      </c>
      <c r="C45">
        <v>12</v>
      </c>
      <c r="D45">
        <v>100000001</v>
      </c>
      <c r="E45">
        <v>10</v>
      </c>
      <c r="F45">
        <v>10</v>
      </c>
      <c r="G45" t="s">
        <v>96</v>
      </c>
      <c r="H45" t="s">
        <v>124</v>
      </c>
      <c r="I45">
        <v>1</v>
      </c>
      <c r="J45">
        <v>163186</v>
      </c>
      <c r="K45">
        <v>81371582</v>
      </c>
      <c r="L45" t="s">
        <v>98</v>
      </c>
      <c r="M45">
        <v>1</v>
      </c>
      <c r="N45" s="3" t="s">
        <v>99</v>
      </c>
      <c r="O45">
        <v>1</v>
      </c>
      <c r="P45">
        <v>2</v>
      </c>
      <c r="Q45">
        <v>5</v>
      </c>
      <c r="R45">
        <v>0</v>
      </c>
      <c r="S45">
        <v>40</v>
      </c>
      <c r="T45" t="s">
        <v>100</v>
      </c>
      <c r="U45" t="s">
        <v>101</v>
      </c>
      <c r="V45">
        <v>12893452</v>
      </c>
      <c r="W45" t="str">
        <f t="shared" si="0"/>
        <v>Security 44</v>
      </c>
      <c r="X45" t="s">
        <v>106</v>
      </c>
      <c r="Y45" t="s">
        <v>107</v>
      </c>
      <c r="Z45" t="s">
        <v>96</v>
      </c>
      <c r="AA45" t="s">
        <v>96</v>
      </c>
      <c r="AB45" t="s">
        <v>107</v>
      </c>
      <c r="AC45" t="s">
        <v>107</v>
      </c>
      <c r="AD45" t="s">
        <v>96</v>
      </c>
      <c r="AE45" t="s">
        <v>96</v>
      </c>
      <c r="AF45" t="s">
        <v>108</v>
      </c>
      <c r="AG45" t="b">
        <v>0</v>
      </c>
      <c r="AH45" t="s">
        <v>96</v>
      </c>
      <c r="AI45" t="s">
        <v>107</v>
      </c>
      <c r="AJ45" t="s">
        <v>109</v>
      </c>
      <c r="AL45">
        <v>1</v>
      </c>
      <c r="AM45">
        <v>0.25</v>
      </c>
      <c r="AN45" t="s">
        <v>111</v>
      </c>
      <c r="AO45" t="s">
        <v>112</v>
      </c>
      <c r="AP45" t="s">
        <v>113</v>
      </c>
      <c r="AQ45" s="5">
        <v>45841</v>
      </c>
      <c r="AR45" s="5">
        <v>45841</v>
      </c>
      <c r="AS45" t="s">
        <v>115</v>
      </c>
      <c r="AT45" t="s">
        <v>115</v>
      </c>
      <c r="AU45" t="s">
        <v>115</v>
      </c>
      <c r="AV45" t="str">
        <f t="shared" si="6"/>
        <v>USD</v>
      </c>
      <c r="AW45" t="s">
        <v>115</v>
      </c>
      <c r="AX45" t="s">
        <v>115</v>
      </c>
      <c r="AY45" t="s">
        <v>116</v>
      </c>
      <c r="AZ45">
        <v>5</v>
      </c>
      <c r="BA45">
        <v>20</v>
      </c>
      <c r="BB45">
        <v>20</v>
      </c>
      <c r="BC45">
        <v>5</v>
      </c>
      <c r="BD45">
        <v>5</v>
      </c>
      <c r="BE45">
        <v>5</v>
      </c>
      <c r="BF45">
        <v>1</v>
      </c>
      <c r="BG45" t="s">
        <v>118</v>
      </c>
      <c r="BH45" t="s">
        <v>119</v>
      </c>
      <c r="BI45" t="b">
        <v>1</v>
      </c>
      <c r="BJ45">
        <v>0</v>
      </c>
      <c r="BK45">
        <v>1</v>
      </c>
      <c r="BL45" t="s">
        <v>115</v>
      </c>
      <c r="BM45" t="s">
        <v>115</v>
      </c>
      <c r="BN45">
        <v>20000</v>
      </c>
      <c r="BP45">
        <v>19029</v>
      </c>
      <c r="BQ45">
        <v>5</v>
      </c>
      <c r="BR45">
        <v>20</v>
      </c>
      <c r="BS45">
        <v>100000010</v>
      </c>
      <c r="BT45" t="s">
        <v>152</v>
      </c>
    </row>
    <row r="46" spans="1:72" x14ac:dyDescent="0.25">
      <c r="A46" s="5">
        <v>45839</v>
      </c>
      <c r="B46" t="s">
        <v>95</v>
      </c>
      <c r="C46">
        <v>12</v>
      </c>
      <c r="D46">
        <v>100000001</v>
      </c>
      <c r="E46">
        <v>1</v>
      </c>
      <c r="F46">
        <v>1</v>
      </c>
      <c r="G46" t="s">
        <v>96</v>
      </c>
      <c r="H46" t="s">
        <v>97</v>
      </c>
      <c r="I46">
        <v>15</v>
      </c>
      <c r="J46">
        <v>163186</v>
      </c>
      <c r="K46">
        <v>59328417</v>
      </c>
      <c r="L46" t="s">
        <v>98</v>
      </c>
      <c r="M46">
        <v>1</v>
      </c>
      <c r="N46" s="3" t="s">
        <v>99</v>
      </c>
      <c r="O46">
        <v>1</v>
      </c>
      <c r="P46">
        <v>2</v>
      </c>
      <c r="Q46">
        <v>5</v>
      </c>
      <c r="R46">
        <v>0</v>
      </c>
      <c r="S46">
        <v>5</v>
      </c>
      <c r="T46" t="s">
        <v>100</v>
      </c>
      <c r="U46" t="s">
        <v>101</v>
      </c>
      <c r="V46" t="s">
        <v>103</v>
      </c>
      <c r="W46" t="str">
        <f>_xlfn.CONCAT("Security ",ROW()-1)</f>
        <v>Security 45</v>
      </c>
      <c r="X46" t="s">
        <v>106</v>
      </c>
      <c r="Y46" t="s">
        <v>107</v>
      </c>
      <c r="Z46" t="s">
        <v>107</v>
      </c>
      <c r="AA46" t="s">
        <v>107</v>
      </c>
      <c r="AB46" t="s">
        <v>107</v>
      </c>
      <c r="AC46" t="s">
        <v>107</v>
      </c>
      <c r="AD46" t="s">
        <v>96</v>
      </c>
      <c r="AE46" t="s">
        <v>96</v>
      </c>
      <c r="AF46" t="s">
        <v>108</v>
      </c>
      <c r="AG46" t="b">
        <v>0</v>
      </c>
      <c r="AH46" t="s">
        <v>96</v>
      </c>
      <c r="AI46" t="s">
        <v>107</v>
      </c>
      <c r="AJ46" t="s">
        <v>109</v>
      </c>
      <c r="AL46">
        <v>1</v>
      </c>
      <c r="AM46">
        <v>0.15</v>
      </c>
      <c r="AN46" t="s">
        <v>111</v>
      </c>
      <c r="AO46" t="s">
        <v>112</v>
      </c>
      <c r="AP46" t="s">
        <v>113</v>
      </c>
      <c r="AQ46" s="5">
        <v>1</v>
      </c>
      <c r="AS46" t="s">
        <v>114</v>
      </c>
      <c r="AT46" t="s">
        <v>114</v>
      </c>
      <c r="AV46" t="str">
        <f>IF(OR(AT46="",AT46="null"),AX46,AT46)</f>
        <v>EUR</v>
      </c>
      <c r="AW46" t="s">
        <v>115</v>
      </c>
      <c r="AX46" t="s">
        <v>115</v>
      </c>
      <c r="AY46" t="s">
        <v>116</v>
      </c>
      <c r="AZ46">
        <v>10</v>
      </c>
      <c r="BA46">
        <v>20</v>
      </c>
      <c r="BB46">
        <v>20</v>
      </c>
      <c r="BC46">
        <v>10</v>
      </c>
      <c r="BD46">
        <v>10</v>
      </c>
      <c r="BE46">
        <v>10</v>
      </c>
      <c r="BF46">
        <v>1</v>
      </c>
      <c r="BG46" t="s">
        <v>118</v>
      </c>
      <c r="BH46" t="s">
        <v>119</v>
      </c>
      <c r="BI46" t="b">
        <v>1</v>
      </c>
      <c r="BJ46">
        <v>1</v>
      </c>
      <c r="BK46">
        <v>1</v>
      </c>
      <c r="BM46" t="s">
        <v>114</v>
      </c>
      <c r="BN46">
        <v>18000</v>
      </c>
      <c r="BP46">
        <v>891186.97</v>
      </c>
      <c r="BQ46">
        <v>10</v>
      </c>
      <c r="BR46">
        <v>20</v>
      </c>
      <c r="BS46">
        <v>100000001</v>
      </c>
      <c r="BT46" t="s">
        <v>123</v>
      </c>
    </row>
    <row r="47" spans="1:72" x14ac:dyDescent="0.25">
      <c r="A47" s="5">
        <v>45839</v>
      </c>
      <c r="B47" t="s">
        <v>95</v>
      </c>
      <c r="C47">
        <v>12</v>
      </c>
      <c r="D47">
        <v>100000001</v>
      </c>
      <c r="E47">
        <v>1</v>
      </c>
      <c r="F47">
        <v>1</v>
      </c>
      <c r="G47" t="s">
        <v>96</v>
      </c>
      <c r="H47" t="s">
        <v>97</v>
      </c>
      <c r="I47">
        <v>15</v>
      </c>
      <c r="J47">
        <v>163186</v>
      </c>
      <c r="K47">
        <v>81426350</v>
      </c>
      <c r="L47" t="s">
        <v>98</v>
      </c>
      <c r="M47">
        <v>1</v>
      </c>
      <c r="N47" s="3" t="s">
        <v>99</v>
      </c>
      <c r="O47">
        <v>1</v>
      </c>
      <c r="P47">
        <v>2</v>
      </c>
      <c r="Q47">
        <v>5</v>
      </c>
      <c r="R47">
        <v>0</v>
      </c>
      <c r="S47">
        <v>5</v>
      </c>
      <c r="T47" t="s">
        <v>100</v>
      </c>
      <c r="U47" t="s">
        <v>101</v>
      </c>
      <c r="V47" t="s">
        <v>104</v>
      </c>
      <c r="W47" t="str">
        <f t="shared" si="0"/>
        <v>Security 46</v>
      </c>
      <c r="X47" t="s">
        <v>106</v>
      </c>
      <c r="Y47" t="s">
        <v>107</v>
      </c>
      <c r="Z47" t="s">
        <v>107</v>
      </c>
      <c r="AA47" t="s">
        <v>107</v>
      </c>
      <c r="AB47" t="s">
        <v>107</v>
      </c>
      <c r="AC47" t="s">
        <v>107</v>
      </c>
      <c r="AD47" t="s">
        <v>96</v>
      </c>
      <c r="AE47" t="s">
        <v>96</v>
      </c>
      <c r="AF47" t="s">
        <v>108</v>
      </c>
      <c r="AG47" t="b">
        <v>0</v>
      </c>
      <c r="AH47" t="s">
        <v>96</v>
      </c>
      <c r="AI47" t="s">
        <v>107</v>
      </c>
      <c r="AJ47" t="s">
        <v>109</v>
      </c>
      <c r="AL47">
        <v>1</v>
      </c>
      <c r="AM47">
        <v>0.25</v>
      </c>
      <c r="AN47" t="s">
        <v>111</v>
      </c>
      <c r="AO47" t="s">
        <v>112</v>
      </c>
      <c r="AP47" t="s">
        <v>113</v>
      </c>
      <c r="AQ47" s="5">
        <v>1</v>
      </c>
      <c r="AS47" t="s">
        <v>115</v>
      </c>
      <c r="AT47" t="s">
        <v>115</v>
      </c>
      <c r="AV47" t="str">
        <f t="shared" ref="AV47:AV50" si="7">IF(OR(AT47="",AT47="null"),AX47,AT47)</f>
        <v>USD</v>
      </c>
      <c r="AW47" t="s">
        <v>115</v>
      </c>
      <c r="AX47" t="s">
        <v>115</v>
      </c>
      <c r="AY47" t="s">
        <v>116</v>
      </c>
      <c r="AZ47">
        <v>10</v>
      </c>
      <c r="BA47">
        <v>20</v>
      </c>
      <c r="BB47">
        <v>20</v>
      </c>
      <c r="BC47">
        <v>10</v>
      </c>
      <c r="BD47">
        <v>10</v>
      </c>
      <c r="BE47">
        <v>10</v>
      </c>
      <c r="BF47">
        <v>1</v>
      </c>
      <c r="BG47" t="s">
        <v>118</v>
      </c>
      <c r="BH47" t="s">
        <v>119</v>
      </c>
      <c r="BI47" t="b">
        <v>1</v>
      </c>
      <c r="BJ47">
        <v>1</v>
      </c>
      <c r="BK47">
        <v>1</v>
      </c>
      <c r="BM47" t="s">
        <v>115</v>
      </c>
      <c r="BN47">
        <v>8000</v>
      </c>
      <c r="BP47">
        <v>113431.08</v>
      </c>
      <c r="BQ47">
        <v>10</v>
      </c>
      <c r="BR47">
        <v>20</v>
      </c>
      <c r="BS47">
        <v>100000001</v>
      </c>
      <c r="BT47" t="s">
        <v>123</v>
      </c>
    </row>
    <row r="48" spans="1:72" x14ac:dyDescent="0.25">
      <c r="A48" s="5">
        <v>45839</v>
      </c>
      <c r="B48" t="s">
        <v>95</v>
      </c>
      <c r="C48">
        <v>12</v>
      </c>
      <c r="D48">
        <v>100000001</v>
      </c>
      <c r="E48">
        <v>1</v>
      </c>
      <c r="F48">
        <v>1</v>
      </c>
      <c r="G48" t="s">
        <v>96</v>
      </c>
      <c r="H48" t="s">
        <v>97</v>
      </c>
      <c r="I48">
        <v>15</v>
      </c>
      <c r="J48">
        <v>163186</v>
      </c>
      <c r="K48">
        <v>70219543</v>
      </c>
      <c r="L48" t="s">
        <v>98</v>
      </c>
      <c r="M48">
        <v>1</v>
      </c>
      <c r="N48" s="3" t="s">
        <v>99</v>
      </c>
      <c r="O48">
        <v>1</v>
      </c>
      <c r="P48">
        <v>2</v>
      </c>
      <c r="Q48">
        <v>5</v>
      </c>
      <c r="R48">
        <v>0</v>
      </c>
      <c r="S48">
        <v>5</v>
      </c>
      <c r="T48" t="s">
        <v>100</v>
      </c>
      <c r="U48" t="s">
        <v>101</v>
      </c>
      <c r="V48">
        <v>294382048</v>
      </c>
      <c r="W48" t="str">
        <f t="shared" si="0"/>
        <v>Security 47</v>
      </c>
      <c r="X48" t="s">
        <v>106</v>
      </c>
      <c r="Y48" t="s">
        <v>107</v>
      </c>
      <c r="Z48" t="s">
        <v>107</v>
      </c>
      <c r="AA48" t="s">
        <v>107</v>
      </c>
      <c r="AB48" t="s">
        <v>107</v>
      </c>
      <c r="AC48" t="s">
        <v>107</v>
      </c>
      <c r="AD48" t="s">
        <v>96</v>
      </c>
      <c r="AE48" t="s">
        <v>96</v>
      </c>
      <c r="AF48" t="s">
        <v>108</v>
      </c>
      <c r="AG48" t="b">
        <v>0</v>
      </c>
      <c r="AH48" t="s">
        <v>96</v>
      </c>
      <c r="AI48" t="s">
        <v>107</v>
      </c>
      <c r="AJ48" t="s">
        <v>109</v>
      </c>
      <c r="AK48" t="s">
        <v>110</v>
      </c>
      <c r="AL48">
        <v>1</v>
      </c>
      <c r="AM48">
        <v>0.25</v>
      </c>
      <c r="AN48" t="s">
        <v>111</v>
      </c>
      <c r="AO48" t="s">
        <v>112</v>
      </c>
      <c r="AP48" t="s">
        <v>113</v>
      </c>
      <c r="AQ48" s="5">
        <v>1</v>
      </c>
      <c r="AS48" t="s">
        <v>115</v>
      </c>
      <c r="AT48" t="s">
        <v>115</v>
      </c>
      <c r="AV48" t="str">
        <f t="shared" si="7"/>
        <v>USD</v>
      </c>
      <c r="AW48" t="s">
        <v>115</v>
      </c>
      <c r="AX48" t="s">
        <v>115</v>
      </c>
      <c r="AY48" t="s">
        <v>117</v>
      </c>
      <c r="AZ48">
        <v>10</v>
      </c>
      <c r="BA48">
        <v>20</v>
      </c>
      <c r="BB48">
        <v>20</v>
      </c>
      <c r="BC48">
        <v>10</v>
      </c>
      <c r="BD48">
        <v>10</v>
      </c>
      <c r="BE48">
        <v>10</v>
      </c>
      <c r="BF48">
        <v>1</v>
      </c>
      <c r="BG48" t="s">
        <v>118</v>
      </c>
      <c r="BH48" t="s">
        <v>119</v>
      </c>
      <c r="BI48" t="b">
        <v>1</v>
      </c>
      <c r="BJ48">
        <v>1</v>
      </c>
      <c r="BK48">
        <v>1</v>
      </c>
      <c r="BL48" t="s">
        <v>115</v>
      </c>
      <c r="BN48">
        <v>1000</v>
      </c>
      <c r="BP48">
        <v>14744.43</v>
      </c>
      <c r="BQ48">
        <v>10</v>
      </c>
      <c r="BR48">
        <v>20</v>
      </c>
      <c r="BS48">
        <v>100000001</v>
      </c>
      <c r="BT48" t="s">
        <v>123</v>
      </c>
    </row>
    <row r="49" spans="1:72" x14ac:dyDescent="0.25">
      <c r="A49" s="5">
        <v>45839</v>
      </c>
      <c r="B49" t="s">
        <v>95</v>
      </c>
      <c r="C49">
        <v>12</v>
      </c>
      <c r="D49">
        <v>100000001</v>
      </c>
      <c r="E49">
        <v>1</v>
      </c>
      <c r="F49">
        <v>1</v>
      </c>
      <c r="G49" t="s">
        <v>96</v>
      </c>
      <c r="H49" t="s">
        <v>97</v>
      </c>
      <c r="I49">
        <v>15</v>
      </c>
      <c r="J49">
        <v>163186</v>
      </c>
      <c r="K49">
        <v>49613820</v>
      </c>
      <c r="L49" t="s">
        <v>98</v>
      </c>
      <c r="M49">
        <v>1</v>
      </c>
      <c r="N49" s="3" t="s">
        <v>99</v>
      </c>
      <c r="O49">
        <v>1</v>
      </c>
      <c r="P49">
        <v>2</v>
      </c>
      <c r="Q49">
        <v>5</v>
      </c>
      <c r="R49">
        <v>0</v>
      </c>
      <c r="S49">
        <v>5</v>
      </c>
      <c r="T49" t="s">
        <v>100</v>
      </c>
      <c r="U49" t="s">
        <v>101</v>
      </c>
      <c r="V49">
        <v>325892398</v>
      </c>
      <c r="W49" t="str">
        <f t="shared" si="0"/>
        <v>Security 48</v>
      </c>
      <c r="X49" t="s">
        <v>106</v>
      </c>
      <c r="Y49" t="s">
        <v>107</v>
      </c>
      <c r="Z49" t="s">
        <v>107</v>
      </c>
      <c r="AA49" t="s">
        <v>107</v>
      </c>
      <c r="AB49" t="s">
        <v>107</v>
      </c>
      <c r="AC49" t="s">
        <v>107</v>
      </c>
      <c r="AD49" t="s">
        <v>96</v>
      </c>
      <c r="AE49" t="s">
        <v>96</v>
      </c>
      <c r="AF49" t="s">
        <v>108</v>
      </c>
      <c r="AG49" t="b">
        <v>0</v>
      </c>
      <c r="AH49" t="s">
        <v>96</v>
      </c>
      <c r="AI49" t="s">
        <v>107</v>
      </c>
      <c r="AJ49" t="s">
        <v>109</v>
      </c>
      <c r="AL49">
        <v>1</v>
      </c>
      <c r="AM49">
        <v>0.25</v>
      </c>
      <c r="AN49" t="s">
        <v>111</v>
      </c>
      <c r="AO49" t="s">
        <v>112</v>
      </c>
      <c r="AP49" t="s">
        <v>113</v>
      </c>
      <c r="AQ49" s="5">
        <v>1</v>
      </c>
      <c r="AS49" t="s">
        <v>115</v>
      </c>
      <c r="AT49" t="s">
        <v>115</v>
      </c>
      <c r="AV49" t="str">
        <f t="shared" si="7"/>
        <v>USD</v>
      </c>
      <c r="AW49" t="s">
        <v>115</v>
      </c>
      <c r="AX49" t="s">
        <v>115</v>
      </c>
      <c r="AY49" t="s">
        <v>116</v>
      </c>
      <c r="AZ49">
        <v>10</v>
      </c>
      <c r="BA49">
        <v>20</v>
      </c>
      <c r="BB49">
        <v>20</v>
      </c>
      <c r="BC49">
        <v>10</v>
      </c>
      <c r="BD49">
        <v>10</v>
      </c>
      <c r="BE49">
        <v>10</v>
      </c>
      <c r="BF49">
        <v>1</v>
      </c>
      <c r="BG49" t="s">
        <v>118</v>
      </c>
      <c r="BH49" t="s">
        <v>119</v>
      </c>
      <c r="BI49" t="b">
        <v>1</v>
      </c>
      <c r="BJ49">
        <v>1</v>
      </c>
      <c r="BK49">
        <v>1</v>
      </c>
      <c r="BM49" t="s">
        <v>115</v>
      </c>
      <c r="BN49">
        <v>7000</v>
      </c>
      <c r="BP49">
        <v>324680.8</v>
      </c>
      <c r="BQ49">
        <v>10</v>
      </c>
      <c r="BR49">
        <v>20</v>
      </c>
      <c r="BS49">
        <v>100000001</v>
      </c>
      <c r="BT49" t="s">
        <v>123</v>
      </c>
    </row>
    <row r="50" spans="1:72" x14ac:dyDescent="0.25">
      <c r="A50" s="5">
        <v>45839</v>
      </c>
      <c r="B50" t="s">
        <v>95</v>
      </c>
      <c r="C50">
        <v>12</v>
      </c>
      <c r="D50">
        <v>100000001</v>
      </c>
      <c r="E50">
        <v>1</v>
      </c>
      <c r="F50">
        <v>1</v>
      </c>
      <c r="G50" t="s">
        <v>96</v>
      </c>
      <c r="H50" t="s">
        <v>97</v>
      </c>
      <c r="I50">
        <v>15</v>
      </c>
      <c r="J50">
        <v>163186</v>
      </c>
      <c r="K50">
        <v>38275196</v>
      </c>
      <c r="L50" t="s">
        <v>98</v>
      </c>
      <c r="M50">
        <v>1</v>
      </c>
      <c r="N50" s="3" t="s">
        <v>99</v>
      </c>
      <c r="O50">
        <v>1</v>
      </c>
      <c r="P50">
        <v>2</v>
      </c>
      <c r="Q50">
        <v>5</v>
      </c>
      <c r="R50">
        <v>0</v>
      </c>
      <c r="S50">
        <v>5</v>
      </c>
      <c r="T50" t="s">
        <v>100</v>
      </c>
      <c r="U50" t="s">
        <v>101</v>
      </c>
      <c r="V50" t="s">
        <v>105</v>
      </c>
      <c r="W50" t="str">
        <f t="shared" si="0"/>
        <v>Security 49</v>
      </c>
      <c r="X50" t="s">
        <v>106</v>
      </c>
      <c r="Y50" t="s">
        <v>107</v>
      </c>
      <c r="Z50" t="s">
        <v>107</v>
      </c>
      <c r="AA50" t="s">
        <v>107</v>
      </c>
      <c r="AB50" t="s">
        <v>107</v>
      </c>
      <c r="AC50" t="s">
        <v>107</v>
      </c>
      <c r="AD50" t="s">
        <v>96</v>
      </c>
      <c r="AE50" t="s">
        <v>96</v>
      </c>
      <c r="AF50" t="s">
        <v>108</v>
      </c>
      <c r="AG50" t="b">
        <v>0</v>
      </c>
      <c r="AH50" t="s">
        <v>96</v>
      </c>
      <c r="AI50" t="s">
        <v>107</v>
      </c>
      <c r="AJ50" t="s">
        <v>109</v>
      </c>
      <c r="AL50">
        <v>1</v>
      </c>
      <c r="AM50">
        <v>0.15</v>
      </c>
      <c r="AN50" t="s">
        <v>111</v>
      </c>
      <c r="AO50" t="s">
        <v>112</v>
      </c>
      <c r="AP50" t="s">
        <v>113</v>
      </c>
      <c r="AQ50" s="5">
        <v>1</v>
      </c>
      <c r="AS50" t="s">
        <v>115</v>
      </c>
      <c r="AT50" t="s">
        <v>115</v>
      </c>
      <c r="AV50" t="str">
        <f t="shared" si="7"/>
        <v>USD</v>
      </c>
      <c r="AW50" t="s">
        <v>115</v>
      </c>
      <c r="AX50" t="s">
        <v>115</v>
      </c>
      <c r="AY50" t="s">
        <v>116</v>
      </c>
      <c r="AZ50">
        <v>10</v>
      </c>
      <c r="BA50">
        <v>20</v>
      </c>
      <c r="BB50">
        <v>20</v>
      </c>
      <c r="BC50">
        <v>10</v>
      </c>
      <c r="BD50">
        <v>10</v>
      </c>
      <c r="BE50">
        <v>10</v>
      </c>
      <c r="BF50">
        <v>1</v>
      </c>
      <c r="BG50" t="s">
        <v>118</v>
      </c>
      <c r="BH50" t="s">
        <v>119</v>
      </c>
      <c r="BI50" t="b">
        <v>1</v>
      </c>
      <c r="BJ50">
        <v>1</v>
      </c>
      <c r="BK50">
        <v>1</v>
      </c>
      <c r="BM50" t="s">
        <v>115</v>
      </c>
      <c r="BN50">
        <v>20000</v>
      </c>
      <c r="BP50">
        <v>4850034.55</v>
      </c>
      <c r="BQ50">
        <v>10</v>
      </c>
      <c r="BR50">
        <v>20</v>
      </c>
      <c r="BS50">
        <v>100000001</v>
      </c>
      <c r="BT50" t="s">
        <v>123</v>
      </c>
    </row>
    <row r="51" spans="1:72" x14ac:dyDescent="0.25">
      <c r="A51" s="5">
        <v>45839</v>
      </c>
      <c r="B51" t="s">
        <v>95</v>
      </c>
      <c r="C51">
        <v>12</v>
      </c>
      <c r="D51">
        <v>100000001</v>
      </c>
      <c r="E51">
        <v>1</v>
      </c>
      <c r="F51">
        <v>1</v>
      </c>
      <c r="G51" t="s">
        <v>96</v>
      </c>
      <c r="H51" t="s">
        <v>97</v>
      </c>
      <c r="I51">
        <v>1</v>
      </c>
      <c r="J51">
        <v>163186</v>
      </c>
      <c r="K51">
        <v>91534082</v>
      </c>
      <c r="L51" t="s">
        <v>98</v>
      </c>
      <c r="M51">
        <v>1</v>
      </c>
      <c r="N51" s="3" t="s">
        <v>99</v>
      </c>
      <c r="O51">
        <v>1</v>
      </c>
      <c r="P51">
        <v>2</v>
      </c>
      <c r="Q51">
        <v>0</v>
      </c>
      <c r="R51">
        <v>0</v>
      </c>
      <c r="S51">
        <v>0</v>
      </c>
      <c r="U51" t="s">
        <v>101</v>
      </c>
      <c r="W51" t="str">
        <f t="shared" si="0"/>
        <v>Security 50</v>
      </c>
      <c r="X51" t="s">
        <v>106</v>
      </c>
      <c r="Y51" t="s">
        <v>107</v>
      </c>
      <c r="Z51" t="s">
        <v>96</v>
      </c>
      <c r="AA51" t="s">
        <v>107</v>
      </c>
      <c r="AB51" t="s">
        <v>107</v>
      </c>
      <c r="AC51" t="s">
        <v>107</v>
      </c>
      <c r="AD51" t="s">
        <v>96</v>
      </c>
      <c r="AE51" t="s">
        <v>96</v>
      </c>
      <c r="AF51" t="s">
        <v>108</v>
      </c>
      <c r="AG51" t="b">
        <v>0</v>
      </c>
      <c r="AH51" t="s">
        <v>107</v>
      </c>
      <c r="AI51" t="s">
        <v>107</v>
      </c>
      <c r="AJ51" t="s">
        <v>109</v>
      </c>
      <c r="AL51">
        <v>1</v>
      </c>
      <c r="AM51">
        <v>1</v>
      </c>
      <c r="AN51" t="s">
        <v>120</v>
      </c>
      <c r="AO51" t="s">
        <v>121</v>
      </c>
      <c r="AP51" t="s">
        <v>113</v>
      </c>
      <c r="AQ51" s="5">
        <v>1</v>
      </c>
      <c r="AU51" t="s">
        <v>115</v>
      </c>
      <c r="AV51" t="str">
        <f>IF(OR(AT51="",AT51="null"),AX51,AT51)</f>
        <v>USD</v>
      </c>
      <c r="AW51" t="s">
        <v>115</v>
      </c>
      <c r="AX51" t="s">
        <v>115</v>
      </c>
      <c r="AY51" t="s">
        <v>116</v>
      </c>
      <c r="AZ51">
        <v>10</v>
      </c>
      <c r="BA51">
        <v>20</v>
      </c>
      <c r="BB51">
        <v>20</v>
      </c>
      <c r="BC51">
        <v>10</v>
      </c>
      <c r="BD51">
        <v>10</v>
      </c>
      <c r="BE51">
        <v>10</v>
      </c>
      <c r="BF51">
        <v>1</v>
      </c>
      <c r="BG51" t="s">
        <v>118</v>
      </c>
      <c r="BH51" t="s">
        <v>119</v>
      </c>
      <c r="BI51" t="b">
        <v>1</v>
      </c>
      <c r="BJ51">
        <v>0</v>
      </c>
      <c r="BK51">
        <v>0</v>
      </c>
      <c r="BL51" t="s">
        <v>115</v>
      </c>
      <c r="BM51" t="s">
        <v>115</v>
      </c>
      <c r="BO51">
        <v>980316320.15999997</v>
      </c>
      <c r="BQ51">
        <v>0</v>
      </c>
      <c r="BR51">
        <v>0</v>
      </c>
      <c r="BS51">
        <v>100000001</v>
      </c>
      <c r="BT51" t="s">
        <v>123</v>
      </c>
    </row>
    <row r="52" spans="1:72" x14ac:dyDescent="0.25">
      <c r="A52" s="5">
        <v>45839</v>
      </c>
      <c r="B52" t="s">
        <v>95</v>
      </c>
      <c r="C52">
        <v>12</v>
      </c>
      <c r="D52">
        <v>100000001</v>
      </c>
      <c r="E52">
        <v>2</v>
      </c>
      <c r="F52">
        <v>2</v>
      </c>
      <c r="G52" t="s">
        <v>96</v>
      </c>
      <c r="H52" t="s">
        <v>97</v>
      </c>
      <c r="I52">
        <v>15</v>
      </c>
      <c r="J52">
        <v>163186</v>
      </c>
      <c r="K52">
        <v>27195684</v>
      </c>
      <c r="L52" t="s">
        <v>98</v>
      </c>
      <c r="M52">
        <v>2</v>
      </c>
      <c r="N52" s="3" t="s">
        <v>129</v>
      </c>
      <c r="O52">
        <v>1</v>
      </c>
      <c r="P52">
        <v>2</v>
      </c>
      <c r="Q52">
        <v>5</v>
      </c>
      <c r="R52">
        <v>0</v>
      </c>
      <c r="S52">
        <v>5</v>
      </c>
      <c r="T52" t="s">
        <v>100</v>
      </c>
      <c r="U52" t="s">
        <v>101</v>
      </c>
      <c r="V52">
        <v>329183012</v>
      </c>
      <c r="W52" t="str">
        <f t="shared" si="0"/>
        <v>Security 51</v>
      </c>
      <c r="X52" t="s">
        <v>106</v>
      </c>
      <c r="Y52" t="s">
        <v>107</v>
      </c>
      <c r="Z52" t="s">
        <v>96</v>
      </c>
      <c r="AA52" t="s">
        <v>107</v>
      </c>
      <c r="AB52" t="s">
        <v>107</v>
      </c>
      <c r="AC52" t="s">
        <v>107</v>
      </c>
      <c r="AD52" t="s">
        <v>96</v>
      </c>
      <c r="AE52" t="s">
        <v>96</v>
      </c>
      <c r="AF52" t="s">
        <v>108</v>
      </c>
      <c r="AG52" t="b">
        <v>0</v>
      </c>
      <c r="AH52" t="s">
        <v>96</v>
      </c>
      <c r="AI52" t="s">
        <v>107</v>
      </c>
      <c r="AJ52" t="s">
        <v>109</v>
      </c>
      <c r="AL52">
        <v>1</v>
      </c>
      <c r="AM52">
        <v>0.25</v>
      </c>
      <c r="AN52" t="s">
        <v>111</v>
      </c>
      <c r="AO52" t="s">
        <v>112</v>
      </c>
      <c r="AP52" t="s">
        <v>113</v>
      </c>
      <c r="AQ52" s="5">
        <v>1</v>
      </c>
      <c r="AS52" t="s">
        <v>115</v>
      </c>
      <c r="AT52" t="s">
        <v>115</v>
      </c>
      <c r="AV52" t="str">
        <f>IF(OR(AT52="",AT52="null"),AX52,AT52)</f>
        <v>USD</v>
      </c>
      <c r="AW52" t="s">
        <v>115</v>
      </c>
      <c r="AY52" t="s">
        <v>116</v>
      </c>
      <c r="AZ52">
        <v>10</v>
      </c>
      <c r="BA52">
        <v>20</v>
      </c>
      <c r="BB52">
        <v>20</v>
      </c>
      <c r="BC52">
        <v>10</v>
      </c>
      <c r="BD52">
        <v>10</v>
      </c>
      <c r="BE52">
        <v>10</v>
      </c>
      <c r="BF52">
        <v>1</v>
      </c>
      <c r="BG52" t="s">
        <v>118</v>
      </c>
      <c r="BH52" t="s">
        <v>119</v>
      </c>
      <c r="BI52" t="b">
        <v>1</v>
      </c>
      <c r="BJ52">
        <v>1</v>
      </c>
      <c r="BK52">
        <v>1</v>
      </c>
      <c r="BM52" t="s">
        <v>115</v>
      </c>
      <c r="BN52">
        <v>50000</v>
      </c>
      <c r="BP52" s="7">
        <v>12396987.9</v>
      </c>
      <c r="BQ52">
        <v>10</v>
      </c>
      <c r="BR52">
        <v>20</v>
      </c>
      <c r="BS52">
        <v>100000002</v>
      </c>
      <c r="BT52" t="s">
        <v>125</v>
      </c>
    </row>
    <row r="53" spans="1:72" x14ac:dyDescent="0.25">
      <c r="A53" s="5">
        <v>45839</v>
      </c>
      <c r="B53" t="s">
        <v>95</v>
      </c>
      <c r="C53">
        <v>12</v>
      </c>
      <c r="D53">
        <v>100000001</v>
      </c>
      <c r="E53">
        <v>2</v>
      </c>
      <c r="F53">
        <v>2</v>
      </c>
      <c r="G53" t="s">
        <v>96</v>
      </c>
      <c r="H53" t="s">
        <v>97</v>
      </c>
      <c r="I53">
        <v>15</v>
      </c>
      <c r="J53">
        <v>163186</v>
      </c>
      <c r="K53">
        <v>60317825</v>
      </c>
      <c r="L53" t="s">
        <v>98</v>
      </c>
      <c r="M53">
        <v>2</v>
      </c>
      <c r="N53" s="3" t="s">
        <v>129</v>
      </c>
      <c r="O53">
        <v>1</v>
      </c>
      <c r="P53">
        <v>2</v>
      </c>
      <c r="Q53">
        <v>5</v>
      </c>
      <c r="R53">
        <v>0</v>
      </c>
      <c r="S53">
        <v>5</v>
      </c>
      <c r="T53" t="s">
        <v>100</v>
      </c>
      <c r="U53" t="s">
        <v>101</v>
      </c>
      <c r="V53">
        <v>132491244</v>
      </c>
      <c r="W53" t="str">
        <f t="shared" si="0"/>
        <v>Security 52</v>
      </c>
      <c r="X53" t="s">
        <v>106</v>
      </c>
      <c r="Y53" t="s">
        <v>107</v>
      </c>
      <c r="Z53" t="s">
        <v>96</v>
      </c>
      <c r="AA53" t="s">
        <v>107</v>
      </c>
      <c r="AB53" t="s">
        <v>107</v>
      </c>
      <c r="AC53" t="s">
        <v>107</v>
      </c>
      <c r="AD53" t="s">
        <v>96</v>
      </c>
      <c r="AE53" t="s">
        <v>96</v>
      </c>
      <c r="AF53" t="s">
        <v>108</v>
      </c>
      <c r="AG53" t="b">
        <v>0</v>
      </c>
      <c r="AH53" t="s">
        <v>96</v>
      </c>
      <c r="AI53" t="s">
        <v>107</v>
      </c>
      <c r="AJ53" t="s">
        <v>109</v>
      </c>
      <c r="AL53">
        <v>1</v>
      </c>
      <c r="AM53">
        <v>0.15</v>
      </c>
      <c r="AN53" t="s">
        <v>111</v>
      </c>
      <c r="AO53" t="s">
        <v>112</v>
      </c>
      <c r="AP53" t="s">
        <v>113</v>
      </c>
      <c r="AQ53" s="5">
        <v>1</v>
      </c>
      <c r="AS53" t="s">
        <v>115</v>
      </c>
      <c r="AT53" t="s">
        <v>115</v>
      </c>
      <c r="AV53" t="str">
        <f t="shared" ref="AV53:AV56" si="8">IF(OR(AT53="",AT53="null"),AX53,AT53)</f>
        <v>USD</v>
      </c>
      <c r="AW53" t="s">
        <v>115</v>
      </c>
      <c r="AY53" t="s">
        <v>116</v>
      </c>
      <c r="AZ53">
        <v>10</v>
      </c>
      <c r="BA53">
        <v>20</v>
      </c>
      <c r="BB53">
        <v>20</v>
      </c>
      <c r="BC53">
        <v>10</v>
      </c>
      <c r="BD53">
        <v>10</v>
      </c>
      <c r="BE53">
        <v>10</v>
      </c>
      <c r="BF53">
        <v>1</v>
      </c>
      <c r="BG53" t="s">
        <v>118</v>
      </c>
      <c r="BH53" t="s">
        <v>119</v>
      </c>
      <c r="BI53" t="b">
        <v>1</v>
      </c>
      <c r="BJ53">
        <v>1</v>
      </c>
      <c r="BK53">
        <v>1</v>
      </c>
      <c r="BM53" t="s">
        <v>115</v>
      </c>
      <c r="BN53">
        <v>119912</v>
      </c>
      <c r="BP53" s="7">
        <v>11103288</v>
      </c>
      <c r="BQ53">
        <v>10</v>
      </c>
      <c r="BR53">
        <v>20</v>
      </c>
      <c r="BS53">
        <v>100000002</v>
      </c>
      <c r="BT53" t="s">
        <v>125</v>
      </c>
    </row>
    <row r="54" spans="1:72" x14ac:dyDescent="0.25">
      <c r="A54" s="5">
        <v>45839</v>
      </c>
      <c r="B54" t="s">
        <v>95</v>
      </c>
      <c r="C54">
        <v>12</v>
      </c>
      <c r="D54">
        <v>100000001</v>
      </c>
      <c r="E54">
        <v>2</v>
      </c>
      <c r="F54">
        <v>2</v>
      </c>
      <c r="G54" t="s">
        <v>96</v>
      </c>
      <c r="H54" t="s">
        <v>97</v>
      </c>
      <c r="I54">
        <v>15</v>
      </c>
      <c r="J54">
        <v>163186</v>
      </c>
      <c r="K54">
        <v>84051763</v>
      </c>
      <c r="L54" t="s">
        <v>98</v>
      </c>
      <c r="M54">
        <v>2</v>
      </c>
      <c r="N54" s="3" t="s">
        <v>129</v>
      </c>
      <c r="O54">
        <v>1</v>
      </c>
      <c r="P54">
        <v>2</v>
      </c>
      <c r="Q54">
        <v>5</v>
      </c>
      <c r="R54">
        <v>0</v>
      </c>
      <c r="S54">
        <v>5</v>
      </c>
      <c r="T54" t="s">
        <v>100</v>
      </c>
      <c r="U54" t="s">
        <v>101</v>
      </c>
      <c r="V54">
        <v>132895157</v>
      </c>
      <c r="W54" t="str">
        <f t="shared" si="0"/>
        <v>Security 53</v>
      </c>
      <c r="X54" t="s">
        <v>106</v>
      </c>
      <c r="Y54" t="s">
        <v>107</v>
      </c>
      <c r="Z54" t="s">
        <v>96</v>
      </c>
      <c r="AA54" t="s">
        <v>107</v>
      </c>
      <c r="AB54" t="s">
        <v>107</v>
      </c>
      <c r="AC54" t="s">
        <v>107</v>
      </c>
      <c r="AD54" t="s">
        <v>96</v>
      </c>
      <c r="AE54" t="s">
        <v>96</v>
      </c>
      <c r="AF54" t="s">
        <v>108</v>
      </c>
      <c r="AG54" t="b">
        <v>0</v>
      </c>
      <c r="AH54" t="s">
        <v>96</v>
      </c>
      <c r="AI54" t="s">
        <v>107</v>
      </c>
      <c r="AJ54" t="s">
        <v>109</v>
      </c>
      <c r="AK54" t="s">
        <v>110</v>
      </c>
      <c r="AL54">
        <v>1</v>
      </c>
      <c r="AM54">
        <v>0.15</v>
      </c>
      <c r="AN54" t="s">
        <v>111</v>
      </c>
      <c r="AO54" t="s">
        <v>112</v>
      </c>
      <c r="AP54" t="s">
        <v>113</v>
      </c>
      <c r="AQ54" s="5">
        <v>1</v>
      </c>
      <c r="AS54" t="s">
        <v>115</v>
      </c>
      <c r="AT54" t="s">
        <v>115</v>
      </c>
      <c r="AV54" t="str">
        <f t="shared" si="8"/>
        <v>USD</v>
      </c>
      <c r="AW54" t="s">
        <v>115</v>
      </c>
      <c r="AY54" t="s">
        <v>117</v>
      </c>
      <c r="AZ54">
        <v>10</v>
      </c>
      <c r="BA54">
        <v>20</v>
      </c>
      <c r="BB54">
        <v>20</v>
      </c>
      <c r="BC54">
        <v>10</v>
      </c>
      <c r="BD54">
        <v>10</v>
      </c>
      <c r="BE54">
        <v>10</v>
      </c>
      <c r="BF54">
        <v>1</v>
      </c>
      <c r="BG54" t="s">
        <v>118</v>
      </c>
      <c r="BH54" t="s">
        <v>119</v>
      </c>
      <c r="BI54" t="b">
        <v>1</v>
      </c>
      <c r="BJ54">
        <v>1</v>
      </c>
      <c r="BK54">
        <v>1</v>
      </c>
      <c r="BL54" t="s">
        <v>115</v>
      </c>
      <c r="BN54">
        <v>129819</v>
      </c>
      <c r="BP54" s="7">
        <v>15094847.359999999</v>
      </c>
      <c r="BQ54">
        <v>10</v>
      </c>
      <c r="BR54">
        <v>20</v>
      </c>
      <c r="BS54">
        <v>100000002</v>
      </c>
      <c r="BT54" t="s">
        <v>125</v>
      </c>
    </row>
    <row r="55" spans="1:72" x14ac:dyDescent="0.25">
      <c r="A55" s="5">
        <v>45839</v>
      </c>
      <c r="B55" t="s">
        <v>95</v>
      </c>
      <c r="C55">
        <v>12</v>
      </c>
      <c r="D55">
        <v>100000001</v>
      </c>
      <c r="E55">
        <v>2</v>
      </c>
      <c r="F55">
        <v>2</v>
      </c>
      <c r="G55" t="s">
        <v>96</v>
      </c>
      <c r="H55" t="s">
        <v>97</v>
      </c>
      <c r="I55">
        <v>15</v>
      </c>
      <c r="J55">
        <v>163186</v>
      </c>
      <c r="K55">
        <v>35946217</v>
      </c>
      <c r="L55" t="s">
        <v>98</v>
      </c>
      <c r="M55">
        <v>2</v>
      </c>
      <c r="N55" s="3" t="s">
        <v>129</v>
      </c>
      <c r="O55">
        <v>1</v>
      </c>
      <c r="P55">
        <v>2</v>
      </c>
      <c r="Q55">
        <v>5</v>
      </c>
      <c r="R55">
        <v>0</v>
      </c>
      <c r="S55">
        <v>5</v>
      </c>
      <c r="T55" t="s">
        <v>100</v>
      </c>
      <c r="U55" t="s">
        <v>101</v>
      </c>
      <c r="V55">
        <v>149719047</v>
      </c>
      <c r="W55" t="str">
        <f t="shared" si="0"/>
        <v>Security 54</v>
      </c>
      <c r="X55" t="s">
        <v>106</v>
      </c>
      <c r="Y55" t="s">
        <v>107</v>
      </c>
      <c r="Z55" t="s">
        <v>96</v>
      </c>
      <c r="AA55" t="s">
        <v>107</v>
      </c>
      <c r="AB55" t="s">
        <v>107</v>
      </c>
      <c r="AC55" t="s">
        <v>107</v>
      </c>
      <c r="AD55" t="s">
        <v>96</v>
      </c>
      <c r="AE55" t="s">
        <v>96</v>
      </c>
      <c r="AF55" t="s">
        <v>108</v>
      </c>
      <c r="AG55" t="b">
        <v>0</v>
      </c>
      <c r="AH55" t="s">
        <v>96</v>
      </c>
      <c r="AI55" t="s">
        <v>107</v>
      </c>
      <c r="AJ55" t="s">
        <v>109</v>
      </c>
      <c r="AL55">
        <v>1</v>
      </c>
      <c r="AM55">
        <v>0.25</v>
      </c>
      <c r="AN55" t="s">
        <v>111</v>
      </c>
      <c r="AO55" t="s">
        <v>112</v>
      </c>
      <c r="AP55" t="s">
        <v>113</v>
      </c>
      <c r="AQ55" s="5">
        <v>1</v>
      </c>
      <c r="AS55" t="s">
        <v>115</v>
      </c>
      <c r="AT55" t="s">
        <v>115</v>
      </c>
      <c r="AV55" t="str">
        <f t="shared" si="8"/>
        <v>USD</v>
      </c>
      <c r="AW55" t="s">
        <v>115</v>
      </c>
      <c r="AY55" t="s">
        <v>117</v>
      </c>
      <c r="AZ55">
        <v>10</v>
      </c>
      <c r="BA55">
        <v>20</v>
      </c>
      <c r="BB55">
        <v>20</v>
      </c>
      <c r="BC55">
        <v>10</v>
      </c>
      <c r="BD55">
        <v>10</v>
      </c>
      <c r="BE55">
        <v>10</v>
      </c>
      <c r="BF55">
        <v>1</v>
      </c>
      <c r="BG55" t="s">
        <v>118</v>
      </c>
      <c r="BH55" t="s">
        <v>119</v>
      </c>
      <c r="BI55" t="b">
        <v>1</v>
      </c>
      <c r="BJ55">
        <v>1</v>
      </c>
      <c r="BK55">
        <v>1</v>
      </c>
      <c r="BL55" t="s">
        <v>115</v>
      </c>
      <c r="BN55">
        <v>21124</v>
      </c>
      <c r="BP55" s="7">
        <v>5849007.2999999998</v>
      </c>
      <c r="BQ55">
        <v>10</v>
      </c>
      <c r="BR55">
        <v>20</v>
      </c>
      <c r="BS55">
        <v>100000002</v>
      </c>
      <c r="BT55" t="s">
        <v>125</v>
      </c>
    </row>
    <row r="56" spans="1:72" x14ac:dyDescent="0.25">
      <c r="A56" s="5">
        <v>45839</v>
      </c>
      <c r="B56" t="s">
        <v>95</v>
      </c>
      <c r="C56">
        <v>12</v>
      </c>
      <c r="D56">
        <v>100000001</v>
      </c>
      <c r="E56">
        <v>2</v>
      </c>
      <c r="F56">
        <v>2</v>
      </c>
      <c r="G56" t="s">
        <v>96</v>
      </c>
      <c r="H56" t="s">
        <v>97</v>
      </c>
      <c r="I56">
        <v>15</v>
      </c>
      <c r="J56">
        <v>163186</v>
      </c>
      <c r="K56">
        <v>74268109</v>
      </c>
      <c r="L56" t="s">
        <v>98</v>
      </c>
      <c r="M56">
        <v>2</v>
      </c>
      <c r="N56" s="3" t="s">
        <v>129</v>
      </c>
      <c r="O56">
        <v>1</v>
      </c>
      <c r="P56">
        <v>2</v>
      </c>
      <c r="Q56">
        <v>0</v>
      </c>
      <c r="R56">
        <v>0</v>
      </c>
      <c r="S56">
        <v>0</v>
      </c>
      <c r="U56" t="s">
        <v>101</v>
      </c>
      <c r="V56" t="s">
        <v>130</v>
      </c>
      <c r="W56" t="str">
        <f t="shared" si="0"/>
        <v>Security 55</v>
      </c>
      <c r="X56" t="s">
        <v>106</v>
      </c>
      <c r="Y56" t="s">
        <v>107</v>
      </c>
      <c r="Z56" t="s">
        <v>96</v>
      </c>
      <c r="AA56" t="s">
        <v>107</v>
      </c>
      <c r="AB56" t="s">
        <v>107</v>
      </c>
      <c r="AC56" t="s">
        <v>107</v>
      </c>
      <c r="AD56" t="s">
        <v>96</v>
      </c>
      <c r="AE56" t="s">
        <v>96</v>
      </c>
      <c r="AF56" t="s">
        <v>108</v>
      </c>
      <c r="AG56" t="b">
        <v>0</v>
      </c>
      <c r="AH56" t="s">
        <v>107</v>
      </c>
      <c r="AI56" t="s">
        <v>107</v>
      </c>
      <c r="AJ56" t="s">
        <v>109</v>
      </c>
      <c r="AL56">
        <v>1</v>
      </c>
      <c r="AM56">
        <v>0.25</v>
      </c>
      <c r="AN56" t="s">
        <v>111</v>
      </c>
      <c r="AO56" t="s">
        <v>112</v>
      </c>
      <c r="AP56" t="s">
        <v>113</v>
      </c>
      <c r="AQ56" s="5">
        <v>1</v>
      </c>
      <c r="AS56" t="s">
        <v>115</v>
      </c>
      <c r="AT56" t="s">
        <v>115</v>
      </c>
      <c r="AV56" t="str">
        <f t="shared" si="8"/>
        <v>USD</v>
      </c>
      <c r="AW56" t="s">
        <v>115</v>
      </c>
      <c r="AY56" t="s">
        <v>116</v>
      </c>
      <c r="AZ56">
        <v>10</v>
      </c>
      <c r="BA56">
        <v>20</v>
      </c>
      <c r="BB56">
        <v>20</v>
      </c>
      <c r="BC56">
        <v>10</v>
      </c>
      <c r="BD56">
        <v>10</v>
      </c>
      <c r="BE56">
        <v>10</v>
      </c>
      <c r="BF56">
        <v>1</v>
      </c>
      <c r="BG56" t="s">
        <v>118</v>
      </c>
      <c r="BH56" t="s">
        <v>119</v>
      </c>
      <c r="BI56" t="b">
        <v>1</v>
      </c>
      <c r="BJ56">
        <v>0</v>
      </c>
      <c r="BK56">
        <v>0</v>
      </c>
      <c r="BM56" t="s">
        <v>115</v>
      </c>
      <c r="BN56">
        <v>15332</v>
      </c>
      <c r="BP56" s="7">
        <v>791811.3</v>
      </c>
      <c r="BQ56">
        <v>0</v>
      </c>
      <c r="BR56">
        <v>0</v>
      </c>
      <c r="BS56">
        <v>100000002</v>
      </c>
      <c r="BT56" t="s">
        <v>125</v>
      </c>
    </row>
    <row r="57" spans="1:72" x14ac:dyDescent="0.25">
      <c r="A57" s="5">
        <v>45839</v>
      </c>
      <c r="B57" t="s">
        <v>95</v>
      </c>
      <c r="C57">
        <v>12</v>
      </c>
      <c r="D57">
        <v>100000001</v>
      </c>
      <c r="E57">
        <v>2</v>
      </c>
      <c r="F57">
        <v>2</v>
      </c>
      <c r="G57" t="s">
        <v>96</v>
      </c>
      <c r="H57" t="s">
        <v>97</v>
      </c>
      <c r="I57">
        <v>15</v>
      </c>
      <c r="J57">
        <v>163186</v>
      </c>
      <c r="K57">
        <v>10835642</v>
      </c>
      <c r="L57" t="s">
        <v>98</v>
      </c>
      <c r="M57">
        <v>2</v>
      </c>
      <c r="N57" s="3" t="s">
        <v>129</v>
      </c>
      <c r="O57">
        <v>1</v>
      </c>
      <c r="P57">
        <v>2</v>
      </c>
      <c r="Q57">
        <v>5</v>
      </c>
      <c r="R57">
        <v>0</v>
      </c>
      <c r="S57">
        <v>5</v>
      </c>
      <c r="T57" t="s">
        <v>100</v>
      </c>
      <c r="U57" t="s">
        <v>101</v>
      </c>
      <c r="V57" t="s">
        <v>131</v>
      </c>
      <c r="W57" t="str">
        <f t="shared" si="0"/>
        <v>Security 56</v>
      </c>
      <c r="X57" t="s">
        <v>106</v>
      </c>
      <c r="Y57" t="s">
        <v>107</v>
      </c>
      <c r="Z57" t="s">
        <v>96</v>
      </c>
      <c r="AA57" t="s">
        <v>107</v>
      </c>
      <c r="AB57" t="s">
        <v>107</v>
      </c>
      <c r="AC57" t="s">
        <v>107</v>
      </c>
      <c r="AD57" t="s">
        <v>96</v>
      </c>
      <c r="AE57" t="s">
        <v>96</v>
      </c>
      <c r="AF57" t="s">
        <v>108</v>
      </c>
      <c r="AG57" t="b">
        <v>0</v>
      </c>
      <c r="AH57" t="s">
        <v>96</v>
      </c>
      <c r="AI57" t="s">
        <v>107</v>
      </c>
      <c r="AJ57" t="s">
        <v>109</v>
      </c>
      <c r="AL57">
        <v>1</v>
      </c>
      <c r="AM57">
        <v>0.15</v>
      </c>
      <c r="AN57" t="s">
        <v>111</v>
      </c>
      <c r="AO57" t="s">
        <v>112</v>
      </c>
      <c r="AP57" t="s">
        <v>113</v>
      </c>
      <c r="AQ57" s="5">
        <v>1</v>
      </c>
      <c r="AS57" t="s">
        <v>115</v>
      </c>
      <c r="AT57" t="s">
        <v>115</v>
      </c>
      <c r="AV57" t="str">
        <f>IF(OR(AT57="",AT57="null"),AX57,AT57)</f>
        <v>USD</v>
      </c>
      <c r="AW57" t="s">
        <v>115</v>
      </c>
      <c r="AY57" t="s">
        <v>117</v>
      </c>
      <c r="AZ57">
        <v>10</v>
      </c>
      <c r="BA57">
        <v>20</v>
      </c>
      <c r="BB57">
        <v>20</v>
      </c>
      <c r="BC57">
        <v>10</v>
      </c>
      <c r="BD57">
        <v>10</v>
      </c>
      <c r="BE57">
        <v>10</v>
      </c>
      <c r="BF57">
        <v>1</v>
      </c>
      <c r="BG57" t="s">
        <v>118</v>
      </c>
      <c r="BH57" t="s">
        <v>119</v>
      </c>
      <c r="BI57" t="b">
        <v>1</v>
      </c>
      <c r="BJ57">
        <v>1</v>
      </c>
      <c r="BK57">
        <v>1</v>
      </c>
      <c r="BL57" t="s">
        <v>115</v>
      </c>
      <c r="BN57">
        <v>41242</v>
      </c>
      <c r="BP57" s="7">
        <v>3764749</v>
      </c>
      <c r="BQ57">
        <v>10</v>
      </c>
      <c r="BR57">
        <v>20</v>
      </c>
      <c r="BS57">
        <v>100000002</v>
      </c>
      <c r="BT57" t="s">
        <v>125</v>
      </c>
    </row>
    <row r="58" spans="1:72" x14ac:dyDescent="0.25">
      <c r="A58" s="5">
        <v>45839</v>
      </c>
      <c r="B58" t="s">
        <v>95</v>
      </c>
      <c r="C58">
        <v>12</v>
      </c>
      <c r="D58">
        <v>100000001</v>
      </c>
      <c r="E58">
        <v>2</v>
      </c>
      <c r="F58">
        <v>2</v>
      </c>
      <c r="G58" t="s">
        <v>96</v>
      </c>
      <c r="H58" t="s">
        <v>97</v>
      </c>
      <c r="I58">
        <v>15</v>
      </c>
      <c r="J58">
        <v>163186</v>
      </c>
      <c r="K58">
        <v>56721483</v>
      </c>
      <c r="L58" t="s">
        <v>98</v>
      </c>
      <c r="M58">
        <v>2</v>
      </c>
      <c r="N58" s="3" t="s">
        <v>129</v>
      </c>
      <c r="O58">
        <v>1</v>
      </c>
      <c r="P58">
        <v>2</v>
      </c>
      <c r="Q58">
        <v>5</v>
      </c>
      <c r="R58">
        <v>0</v>
      </c>
      <c r="S58">
        <v>5</v>
      </c>
      <c r="T58" t="s">
        <v>100</v>
      </c>
      <c r="U58" t="s">
        <v>101</v>
      </c>
      <c r="V58">
        <v>128391975</v>
      </c>
      <c r="W58" t="str">
        <f t="shared" si="0"/>
        <v>Security 57</v>
      </c>
      <c r="X58" t="s">
        <v>106</v>
      </c>
      <c r="Y58" t="s">
        <v>107</v>
      </c>
      <c r="Z58" t="s">
        <v>96</v>
      </c>
      <c r="AA58" t="s">
        <v>107</v>
      </c>
      <c r="AB58" t="s">
        <v>107</v>
      </c>
      <c r="AC58" t="s">
        <v>107</v>
      </c>
      <c r="AD58" t="s">
        <v>96</v>
      </c>
      <c r="AE58" t="s">
        <v>96</v>
      </c>
      <c r="AF58" t="s">
        <v>108</v>
      </c>
      <c r="AG58" t="b">
        <v>0</v>
      </c>
      <c r="AH58" t="s">
        <v>96</v>
      </c>
      <c r="AI58" t="s">
        <v>107</v>
      </c>
      <c r="AJ58" t="s">
        <v>109</v>
      </c>
      <c r="AL58">
        <v>1</v>
      </c>
      <c r="AM58">
        <v>0.15</v>
      </c>
      <c r="AN58" t="s">
        <v>111</v>
      </c>
      <c r="AO58" t="s">
        <v>112</v>
      </c>
      <c r="AP58" t="s">
        <v>113</v>
      </c>
      <c r="AQ58" s="5">
        <v>1</v>
      </c>
      <c r="AS58" t="s">
        <v>132</v>
      </c>
      <c r="AT58" t="s">
        <v>132</v>
      </c>
      <c r="AV58" t="str">
        <f>IF(OR(AT58="",AT58="null"),AX58,AT58)</f>
        <v>CAD</v>
      </c>
      <c r="AW58" t="s">
        <v>115</v>
      </c>
      <c r="AY58" t="s">
        <v>117</v>
      </c>
      <c r="AZ58">
        <v>10</v>
      </c>
      <c r="BA58">
        <v>20</v>
      </c>
      <c r="BB58">
        <v>20</v>
      </c>
      <c r="BC58">
        <v>10</v>
      </c>
      <c r="BD58">
        <v>10</v>
      </c>
      <c r="BE58">
        <v>10</v>
      </c>
      <c r="BF58">
        <v>1</v>
      </c>
      <c r="BG58" t="s">
        <v>118</v>
      </c>
      <c r="BH58" t="s">
        <v>119</v>
      </c>
      <c r="BI58" t="b">
        <v>1</v>
      </c>
      <c r="BJ58">
        <v>1</v>
      </c>
      <c r="BK58">
        <v>1</v>
      </c>
      <c r="BL58" t="s">
        <v>132</v>
      </c>
      <c r="BN58">
        <v>219839</v>
      </c>
      <c r="BP58" s="7">
        <v>22813134.66</v>
      </c>
      <c r="BQ58">
        <v>10</v>
      </c>
      <c r="BR58">
        <v>20</v>
      </c>
      <c r="BS58">
        <v>100000002</v>
      </c>
      <c r="BT58" t="s">
        <v>125</v>
      </c>
    </row>
    <row r="59" spans="1:72" x14ac:dyDescent="0.25">
      <c r="A59" s="5">
        <v>45839</v>
      </c>
      <c r="B59" t="s">
        <v>95</v>
      </c>
      <c r="C59">
        <v>12</v>
      </c>
      <c r="D59">
        <v>100000001</v>
      </c>
      <c r="E59">
        <v>3</v>
      </c>
      <c r="F59">
        <v>3</v>
      </c>
      <c r="G59" t="s">
        <v>96</v>
      </c>
      <c r="H59" t="s">
        <v>97</v>
      </c>
      <c r="I59">
        <v>15</v>
      </c>
      <c r="J59">
        <v>163186</v>
      </c>
      <c r="K59">
        <v>62084915</v>
      </c>
      <c r="L59" t="s">
        <v>98</v>
      </c>
      <c r="M59">
        <v>1</v>
      </c>
      <c r="N59" s="3" t="s">
        <v>99</v>
      </c>
      <c r="O59">
        <v>1</v>
      </c>
      <c r="P59">
        <v>2</v>
      </c>
      <c r="Q59">
        <v>5</v>
      </c>
      <c r="R59">
        <v>0</v>
      </c>
      <c r="S59">
        <v>5</v>
      </c>
      <c r="T59" t="s">
        <v>100</v>
      </c>
      <c r="U59" t="s">
        <v>101</v>
      </c>
      <c r="V59" t="s">
        <v>104</v>
      </c>
      <c r="W59" t="str">
        <f t="shared" si="0"/>
        <v>Security 58</v>
      </c>
      <c r="X59" t="s">
        <v>106</v>
      </c>
      <c r="Y59" t="s">
        <v>107</v>
      </c>
      <c r="Z59" t="s">
        <v>107</v>
      </c>
      <c r="AA59" t="s">
        <v>107</v>
      </c>
      <c r="AB59" t="s">
        <v>107</v>
      </c>
      <c r="AC59" t="s">
        <v>107</v>
      </c>
      <c r="AD59" t="s">
        <v>96</v>
      </c>
      <c r="AE59" t="s">
        <v>107</v>
      </c>
      <c r="AF59" t="s">
        <v>108</v>
      </c>
      <c r="AG59" t="b">
        <v>0</v>
      </c>
      <c r="AH59" t="s">
        <v>96</v>
      </c>
      <c r="AI59" t="s">
        <v>107</v>
      </c>
      <c r="AJ59" t="s">
        <v>109</v>
      </c>
      <c r="AL59">
        <v>1</v>
      </c>
      <c r="AM59">
        <v>0.25</v>
      </c>
      <c r="AN59" t="s">
        <v>111</v>
      </c>
      <c r="AO59" t="s">
        <v>112</v>
      </c>
      <c r="AP59" t="s">
        <v>113</v>
      </c>
      <c r="AQ59" s="5">
        <v>1</v>
      </c>
      <c r="AS59" t="s">
        <v>115</v>
      </c>
      <c r="AT59" t="s">
        <v>115</v>
      </c>
      <c r="AV59" t="str">
        <f t="shared" ref="AV59:AV62" si="9">IF(OR(AT59="",AT59="null"),AX59,AT59)</f>
        <v>USD</v>
      </c>
      <c r="AW59" t="s">
        <v>115</v>
      </c>
      <c r="AX59" t="s">
        <v>115</v>
      </c>
      <c r="AY59" t="s">
        <v>117</v>
      </c>
      <c r="AZ59">
        <v>20</v>
      </c>
      <c r="BA59">
        <v>20</v>
      </c>
      <c r="BB59">
        <v>20</v>
      </c>
      <c r="BC59">
        <v>10</v>
      </c>
      <c r="BD59">
        <v>10</v>
      </c>
      <c r="BE59">
        <v>20</v>
      </c>
      <c r="BF59">
        <v>1</v>
      </c>
      <c r="BG59" t="s">
        <v>118</v>
      </c>
      <c r="BH59" t="s">
        <v>134</v>
      </c>
      <c r="BI59" t="b">
        <v>1</v>
      </c>
      <c r="BJ59">
        <v>1</v>
      </c>
      <c r="BK59">
        <v>1</v>
      </c>
      <c r="BL59" t="s">
        <v>115</v>
      </c>
      <c r="BN59">
        <v>12394</v>
      </c>
      <c r="BP59" s="7">
        <v>304306.8</v>
      </c>
      <c r="BQ59">
        <v>10</v>
      </c>
      <c r="BR59">
        <v>20</v>
      </c>
      <c r="BS59">
        <v>100000003</v>
      </c>
      <c r="BT59" t="s">
        <v>126</v>
      </c>
    </row>
    <row r="60" spans="1:72" x14ac:dyDescent="0.25">
      <c r="A60" s="5">
        <v>45839</v>
      </c>
      <c r="B60" t="s">
        <v>95</v>
      </c>
      <c r="C60">
        <v>12</v>
      </c>
      <c r="D60">
        <v>100000001</v>
      </c>
      <c r="E60">
        <v>3</v>
      </c>
      <c r="F60">
        <v>3</v>
      </c>
      <c r="G60" t="s">
        <v>96</v>
      </c>
      <c r="H60" t="s">
        <v>97</v>
      </c>
      <c r="I60">
        <v>15</v>
      </c>
      <c r="J60">
        <v>163186</v>
      </c>
      <c r="K60">
        <v>25319760</v>
      </c>
      <c r="L60" t="s">
        <v>98</v>
      </c>
      <c r="M60">
        <v>1</v>
      </c>
      <c r="N60" s="3" t="s">
        <v>99</v>
      </c>
      <c r="O60">
        <v>1</v>
      </c>
      <c r="P60">
        <v>2</v>
      </c>
      <c r="Q60">
        <v>5</v>
      </c>
      <c r="R60">
        <v>0</v>
      </c>
      <c r="S60">
        <v>5</v>
      </c>
      <c r="T60" t="s">
        <v>100</v>
      </c>
      <c r="U60" t="s">
        <v>101</v>
      </c>
      <c r="V60">
        <v>294382048</v>
      </c>
      <c r="W60" t="str">
        <f t="shared" si="0"/>
        <v>Security 59</v>
      </c>
      <c r="X60" t="s">
        <v>106</v>
      </c>
      <c r="Y60" t="s">
        <v>107</v>
      </c>
      <c r="Z60" t="s">
        <v>107</v>
      </c>
      <c r="AA60" t="s">
        <v>107</v>
      </c>
      <c r="AB60" t="s">
        <v>107</v>
      </c>
      <c r="AC60" t="s">
        <v>107</v>
      </c>
      <c r="AD60" t="s">
        <v>96</v>
      </c>
      <c r="AE60" t="s">
        <v>107</v>
      </c>
      <c r="AF60" t="s">
        <v>108</v>
      </c>
      <c r="AG60" t="b">
        <v>0</v>
      </c>
      <c r="AH60" t="s">
        <v>96</v>
      </c>
      <c r="AI60" t="s">
        <v>107</v>
      </c>
      <c r="AJ60" t="s">
        <v>109</v>
      </c>
      <c r="AK60" t="s">
        <v>110</v>
      </c>
      <c r="AL60">
        <v>1</v>
      </c>
      <c r="AM60">
        <v>0.15</v>
      </c>
      <c r="AN60" t="s">
        <v>111</v>
      </c>
      <c r="AO60" t="s">
        <v>112</v>
      </c>
      <c r="AP60" t="s">
        <v>113</v>
      </c>
      <c r="AQ60" s="5">
        <v>1</v>
      </c>
      <c r="AS60" t="s">
        <v>133</v>
      </c>
      <c r="AT60" t="s">
        <v>133</v>
      </c>
      <c r="AV60" t="str">
        <f t="shared" si="9"/>
        <v>GBP</v>
      </c>
      <c r="AW60" t="s">
        <v>115</v>
      </c>
      <c r="AX60" t="s">
        <v>115</v>
      </c>
      <c r="AY60" t="s">
        <v>116</v>
      </c>
      <c r="AZ60">
        <v>20</v>
      </c>
      <c r="BA60">
        <v>20</v>
      </c>
      <c r="BB60">
        <v>20</v>
      </c>
      <c r="BC60">
        <v>10</v>
      </c>
      <c r="BD60">
        <v>10</v>
      </c>
      <c r="BE60">
        <v>20</v>
      </c>
      <c r="BF60">
        <v>1</v>
      </c>
      <c r="BG60" t="s">
        <v>118</v>
      </c>
      <c r="BH60" t="s">
        <v>134</v>
      </c>
      <c r="BI60" t="b">
        <v>1</v>
      </c>
      <c r="BJ60">
        <v>1</v>
      </c>
      <c r="BK60">
        <v>1</v>
      </c>
      <c r="BM60" t="s">
        <v>133</v>
      </c>
      <c r="BN60">
        <v>141251</v>
      </c>
      <c r="BP60" s="7">
        <v>4057479.94</v>
      </c>
      <c r="BQ60">
        <v>10</v>
      </c>
      <c r="BR60">
        <v>20</v>
      </c>
      <c r="BS60">
        <v>100000003</v>
      </c>
      <c r="BT60" t="s">
        <v>126</v>
      </c>
    </row>
    <row r="61" spans="1:72" x14ac:dyDescent="0.25">
      <c r="A61" s="5">
        <v>45839</v>
      </c>
      <c r="B61" t="s">
        <v>95</v>
      </c>
      <c r="C61">
        <v>12</v>
      </c>
      <c r="D61">
        <v>100000001</v>
      </c>
      <c r="E61">
        <v>3</v>
      </c>
      <c r="F61">
        <v>3</v>
      </c>
      <c r="G61" t="s">
        <v>96</v>
      </c>
      <c r="H61" t="s">
        <v>97</v>
      </c>
      <c r="I61">
        <v>15</v>
      </c>
      <c r="J61">
        <v>163186</v>
      </c>
      <c r="K61">
        <v>94186207</v>
      </c>
      <c r="L61" t="s">
        <v>98</v>
      </c>
      <c r="M61">
        <v>1</v>
      </c>
      <c r="N61" s="3" t="s">
        <v>99</v>
      </c>
      <c r="O61">
        <v>1</v>
      </c>
      <c r="P61">
        <v>2</v>
      </c>
      <c r="Q61">
        <v>5</v>
      </c>
      <c r="R61">
        <v>0</v>
      </c>
      <c r="S61">
        <v>5</v>
      </c>
      <c r="T61" t="s">
        <v>100</v>
      </c>
      <c r="U61" t="s">
        <v>101</v>
      </c>
      <c r="V61">
        <v>325892398</v>
      </c>
      <c r="W61" t="str">
        <f t="shared" si="0"/>
        <v>Security 60</v>
      </c>
      <c r="X61" t="s">
        <v>106</v>
      </c>
      <c r="Y61" t="s">
        <v>107</v>
      </c>
      <c r="Z61" t="s">
        <v>107</v>
      </c>
      <c r="AA61" t="s">
        <v>107</v>
      </c>
      <c r="AB61" t="s">
        <v>107</v>
      </c>
      <c r="AC61" t="s">
        <v>107</v>
      </c>
      <c r="AD61" t="s">
        <v>96</v>
      </c>
      <c r="AE61" t="s">
        <v>107</v>
      </c>
      <c r="AF61" t="s">
        <v>108</v>
      </c>
      <c r="AG61" t="b">
        <v>0</v>
      </c>
      <c r="AH61" t="s">
        <v>96</v>
      </c>
      <c r="AI61" t="s">
        <v>107</v>
      </c>
      <c r="AJ61" t="s">
        <v>109</v>
      </c>
      <c r="AL61">
        <v>1</v>
      </c>
      <c r="AM61">
        <v>0.25</v>
      </c>
      <c r="AN61" t="s">
        <v>111</v>
      </c>
      <c r="AO61" t="s">
        <v>112</v>
      </c>
      <c r="AP61" t="s">
        <v>113</v>
      </c>
      <c r="AQ61" s="5">
        <v>1</v>
      </c>
      <c r="AS61" t="s">
        <v>115</v>
      </c>
      <c r="AT61" t="s">
        <v>115</v>
      </c>
      <c r="AV61" t="str">
        <f t="shared" si="9"/>
        <v>USD</v>
      </c>
      <c r="AW61" t="s">
        <v>115</v>
      </c>
      <c r="AX61" t="s">
        <v>115</v>
      </c>
      <c r="AY61" t="s">
        <v>117</v>
      </c>
      <c r="AZ61">
        <v>20</v>
      </c>
      <c r="BA61">
        <v>20</v>
      </c>
      <c r="BB61">
        <v>20</v>
      </c>
      <c r="BC61">
        <v>10</v>
      </c>
      <c r="BD61">
        <v>10</v>
      </c>
      <c r="BE61">
        <v>20</v>
      </c>
      <c r="BF61">
        <v>1</v>
      </c>
      <c r="BG61" t="s">
        <v>118</v>
      </c>
      <c r="BH61" t="s">
        <v>134</v>
      </c>
      <c r="BI61" t="b">
        <v>1</v>
      </c>
      <c r="BJ61">
        <v>1</v>
      </c>
      <c r="BK61">
        <v>1</v>
      </c>
      <c r="BL61" t="s">
        <v>115</v>
      </c>
      <c r="BN61">
        <v>32321</v>
      </c>
      <c r="BP61" s="7">
        <v>81009437.280000001</v>
      </c>
      <c r="BQ61">
        <v>10</v>
      </c>
      <c r="BR61">
        <v>20</v>
      </c>
      <c r="BS61">
        <v>100000003</v>
      </c>
      <c r="BT61" t="s">
        <v>126</v>
      </c>
    </row>
    <row r="62" spans="1:72" x14ac:dyDescent="0.25">
      <c r="A62" s="5">
        <v>45839</v>
      </c>
      <c r="B62" t="s">
        <v>95</v>
      </c>
      <c r="C62">
        <v>12</v>
      </c>
      <c r="D62">
        <v>100000001</v>
      </c>
      <c r="E62">
        <v>3</v>
      </c>
      <c r="F62">
        <v>3</v>
      </c>
      <c r="G62" t="s">
        <v>96</v>
      </c>
      <c r="H62" t="s">
        <v>97</v>
      </c>
      <c r="I62">
        <v>15</v>
      </c>
      <c r="J62">
        <v>163186</v>
      </c>
      <c r="K62">
        <v>87452013</v>
      </c>
      <c r="L62" t="s">
        <v>98</v>
      </c>
      <c r="M62">
        <v>1</v>
      </c>
      <c r="N62" s="3" t="s">
        <v>99</v>
      </c>
      <c r="O62">
        <v>1</v>
      </c>
      <c r="P62">
        <v>2</v>
      </c>
      <c r="Q62">
        <v>5</v>
      </c>
      <c r="R62">
        <v>0</v>
      </c>
      <c r="S62">
        <v>5</v>
      </c>
      <c r="T62" t="s">
        <v>100</v>
      </c>
      <c r="U62" t="s">
        <v>101</v>
      </c>
      <c r="V62" t="s">
        <v>105</v>
      </c>
      <c r="W62" t="str">
        <f t="shared" si="0"/>
        <v>Security 61</v>
      </c>
      <c r="X62" t="s">
        <v>106</v>
      </c>
      <c r="Y62" t="s">
        <v>107</v>
      </c>
      <c r="Z62" t="s">
        <v>107</v>
      </c>
      <c r="AA62" t="s">
        <v>107</v>
      </c>
      <c r="AB62" t="s">
        <v>107</v>
      </c>
      <c r="AC62" t="s">
        <v>107</v>
      </c>
      <c r="AD62" t="s">
        <v>96</v>
      </c>
      <c r="AE62" t="s">
        <v>107</v>
      </c>
      <c r="AF62" t="s">
        <v>108</v>
      </c>
      <c r="AG62" t="b">
        <v>0</v>
      </c>
      <c r="AH62" t="s">
        <v>96</v>
      </c>
      <c r="AI62" t="s">
        <v>107</v>
      </c>
      <c r="AJ62" t="s">
        <v>109</v>
      </c>
      <c r="AL62">
        <v>1</v>
      </c>
      <c r="AM62">
        <v>0.15</v>
      </c>
      <c r="AN62" t="s">
        <v>111</v>
      </c>
      <c r="AO62" t="s">
        <v>112</v>
      </c>
      <c r="AP62" t="s">
        <v>113</v>
      </c>
      <c r="AQ62" s="5">
        <v>1</v>
      </c>
      <c r="AS62" t="s">
        <v>115</v>
      </c>
      <c r="AT62" t="s">
        <v>115</v>
      </c>
      <c r="AV62" t="str">
        <f t="shared" si="9"/>
        <v>USD</v>
      </c>
      <c r="AW62" t="s">
        <v>115</v>
      </c>
      <c r="AX62" t="s">
        <v>115</v>
      </c>
      <c r="AY62" t="s">
        <v>116</v>
      </c>
      <c r="AZ62">
        <v>20</v>
      </c>
      <c r="BA62">
        <v>20</v>
      </c>
      <c r="BB62">
        <v>20</v>
      </c>
      <c r="BC62">
        <v>10</v>
      </c>
      <c r="BD62">
        <v>10</v>
      </c>
      <c r="BE62">
        <v>20</v>
      </c>
      <c r="BF62">
        <v>1</v>
      </c>
      <c r="BG62" t="s">
        <v>118</v>
      </c>
      <c r="BH62" t="s">
        <v>134</v>
      </c>
      <c r="BI62" t="b">
        <v>1</v>
      </c>
      <c r="BJ62">
        <v>1</v>
      </c>
      <c r="BK62">
        <v>1</v>
      </c>
      <c r="BM62" t="s">
        <v>115</v>
      </c>
      <c r="BN62">
        <v>1351</v>
      </c>
      <c r="BP62" s="7">
        <v>8924661.7300000004</v>
      </c>
      <c r="BQ62">
        <v>10</v>
      </c>
      <c r="BR62">
        <v>20</v>
      </c>
      <c r="BS62">
        <v>100000003</v>
      </c>
      <c r="BT62" t="s">
        <v>126</v>
      </c>
    </row>
    <row r="63" spans="1:72" x14ac:dyDescent="0.25">
      <c r="A63" s="5">
        <v>45839</v>
      </c>
      <c r="B63" t="s">
        <v>95</v>
      </c>
      <c r="C63">
        <v>12</v>
      </c>
      <c r="D63">
        <v>100000001</v>
      </c>
      <c r="E63">
        <v>3</v>
      </c>
      <c r="F63">
        <v>3</v>
      </c>
      <c r="G63" t="s">
        <v>96</v>
      </c>
      <c r="H63" t="s">
        <v>97</v>
      </c>
      <c r="I63">
        <v>1</v>
      </c>
      <c r="J63">
        <v>163186</v>
      </c>
      <c r="K63">
        <v>31860794</v>
      </c>
      <c r="L63" t="s">
        <v>98</v>
      </c>
      <c r="M63">
        <v>1</v>
      </c>
      <c r="N63" s="3" t="s">
        <v>99</v>
      </c>
      <c r="O63">
        <v>1</v>
      </c>
      <c r="P63">
        <v>2</v>
      </c>
      <c r="Q63">
        <v>5</v>
      </c>
      <c r="R63">
        <v>0</v>
      </c>
      <c r="S63">
        <v>5</v>
      </c>
      <c r="T63" t="s">
        <v>100</v>
      </c>
      <c r="U63" t="s">
        <v>101</v>
      </c>
      <c r="W63" t="str">
        <f t="shared" si="0"/>
        <v>Security 62</v>
      </c>
      <c r="X63" t="s">
        <v>106</v>
      </c>
      <c r="Y63" t="s">
        <v>107</v>
      </c>
      <c r="Z63" t="s">
        <v>107</v>
      </c>
      <c r="AA63" t="s">
        <v>107</v>
      </c>
      <c r="AB63" t="s">
        <v>107</v>
      </c>
      <c r="AC63" t="s">
        <v>107</v>
      </c>
      <c r="AD63" t="s">
        <v>96</v>
      </c>
      <c r="AE63" t="s">
        <v>107</v>
      </c>
      <c r="AF63" t="s">
        <v>108</v>
      </c>
      <c r="AG63" t="b">
        <v>0</v>
      </c>
      <c r="AH63" t="s">
        <v>96</v>
      </c>
      <c r="AI63" t="s">
        <v>107</v>
      </c>
      <c r="AJ63" t="s">
        <v>109</v>
      </c>
      <c r="AL63">
        <v>1</v>
      </c>
      <c r="AM63">
        <v>0.15</v>
      </c>
      <c r="AN63" t="s">
        <v>111</v>
      </c>
      <c r="AO63" t="s">
        <v>112</v>
      </c>
      <c r="AP63" t="s">
        <v>113</v>
      </c>
      <c r="AQ63" s="5">
        <v>1</v>
      </c>
      <c r="AS63" t="s">
        <v>115</v>
      </c>
      <c r="AT63" t="s">
        <v>115</v>
      </c>
      <c r="AV63" t="str">
        <f>IF(OR(AT63="",AT63="null"),AX63,AT63)</f>
        <v>USD</v>
      </c>
      <c r="AW63" t="s">
        <v>115</v>
      </c>
      <c r="AX63" t="s">
        <v>115</v>
      </c>
      <c r="AY63" t="s">
        <v>117</v>
      </c>
      <c r="AZ63">
        <v>20</v>
      </c>
      <c r="BA63">
        <v>20</v>
      </c>
      <c r="BB63">
        <v>20</v>
      </c>
      <c r="BC63">
        <v>10</v>
      </c>
      <c r="BD63">
        <v>10</v>
      </c>
      <c r="BE63">
        <v>20</v>
      </c>
      <c r="BF63">
        <v>1</v>
      </c>
      <c r="BG63" t="s">
        <v>118</v>
      </c>
      <c r="BH63" t="s">
        <v>134</v>
      </c>
      <c r="BI63" t="b">
        <v>1</v>
      </c>
      <c r="BJ63">
        <v>0</v>
      </c>
      <c r="BK63">
        <v>0</v>
      </c>
      <c r="BL63" t="s">
        <v>115</v>
      </c>
      <c r="BN63">
        <v>1233</v>
      </c>
      <c r="BP63" s="7">
        <v>932727.68</v>
      </c>
      <c r="BQ63">
        <v>10</v>
      </c>
      <c r="BR63">
        <v>20</v>
      </c>
      <c r="BS63">
        <v>100000003</v>
      </c>
      <c r="BT63" t="s">
        <v>126</v>
      </c>
    </row>
    <row r="64" spans="1:72" s="10" customFormat="1" x14ac:dyDescent="0.25">
      <c r="A64" s="9">
        <v>45839</v>
      </c>
      <c r="B64" s="10" t="s">
        <v>95</v>
      </c>
      <c r="C64" s="10">
        <v>12</v>
      </c>
      <c r="D64" s="10">
        <v>100000001</v>
      </c>
      <c r="E64" s="10">
        <v>4</v>
      </c>
      <c r="F64" s="10">
        <v>4</v>
      </c>
      <c r="G64" s="10" t="s">
        <v>96</v>
      </c>
      <c r="H64" s="10" t="s">
        <v>124</v>
      </c>
      <c r="I64" s="10">
        <v>1</v>
      </c>
      <c r="J64" s="10">
        <v>163186</v>
      </c>
      <c r="K64" s="10">
        <v>12394321</v>
      </c>
      <c r="L64" s="10" t="s">
        <v>98</v>
      </c>
      <c r="M64" s="10">
        <v>1</v>
      </c>
      <c r="N64" s="11" t="s">
        <v>99</v>
      </c>
      <c r="O64" s="10">
        <v>1</v>
      </c>
      <c r="P64" s="10">
        <v>2</v>
      </c>
      <c r="Q64" s="10">
        <v>5</v>
      </c>
      <c r="R64" s="10">
        <v>0</v>
      </c>
      <c r="S64" s="10">
        <v>5</v>
      </c>
      <c r="T64" s="10" t="s">
        <v>100</v>
      </c>
      <c r="U64" s="10" t="s">
        <v>101</v>
      </c>
      <c r="V64" s="10" t="s">
        <v>103</v>
      </c>
      <c r="W64" s="10" t="str">
        <f t="shared" si="0"/>
        <v>Security 63</v>
      </c>
      <c r="X64" s="10" t="s">
        <v>106</v>
      </c>
      <c r="Y64" s="10" t="s">
        <v>107</v>
      </c>
      <c r="Z64" s="10" t="s">
        <v>96</v>
      </c>
      <c r="AA64" s="10" t="s">
        <v>107</v>
      </c>
      <c r="AB64" s="10" t="s">
        <v>107</v>
      </c>
      <c r="AC64" s="10" t="s">
        <v>107</v>
      </c>
      <c r="AD64" s="10" t="s">
        <v>96</v>
      </c>
      <c r="AE64" s="10" t="s">
        <v>96</v>
      </c>
      <c r="AF64" s="10" t="s">
        <v>108</v>
      </c>
      <c r="AG64" s="10" t="b">
        <v>0</v>
      </c>
      <c r="AH64" s="10" t="s">
        <v>96</v>
      </c>
      <c r="AI64" s="10" t="s">
        <v>107</v>
      </c>
      <c r="AJ64" s="10" t="s">
        <v>109</v>
      </c>
      <c r="AL64" s="10">
        <v>1</v>
      </c>
      <c r="AM64" s="10">
        <v>0.25</v>
      </c>
      <c r="AN64" s="10" t="s">
        <v>111</v>
      </c>
      <c r="AO64" s="10" t="s">
        <v>112</v>
      </c>
      <c r="AP64" s="10" t="s">
        <v>113</v>
      </c>
      <c r="AQ64" s="9">
        <v>46204</v>
      </c>
      <c r="AR64" s="9">
        <v>46204</v>
      </c>
      <c r="AS64" s="10" t="s">
        <v>115</v>
      </c>
      <c r="AT64" s="10" t="s">
        <v>115</v>
      </c>
      <c r="AU64" s="10" t="s">
        <v>115</v>
      </c>
      <c r="AV64" s="10" t="str">
        <f>IF(OR(AT64="",AT64="null"),AX64,AT64)</f>
        <v>USD</v>
      </c>
      <c r="AW64" s="10" t="s">
        <v>115</v>
      </c>
      <c r="AX64" s="10" t="s">
        <v>115</v>
      </c>
      <c r="AY64" s="10" t="s">
        <v>116</v>
      </c>
      <c r="AZ64" s="10">
        <v>5</v>
      </c>
      <c r="BA64" s="10">
        <v>20</v>
      </c>
      <c r="BB64" s="10">
        <v>20</v>
      </c>
      <c r="BC64" s="10">
        <v>5</v>
      </c>
      <c r="BD64" s="10">
        <v>5</v>
      </c>
      <c r="BE64" s="10">
        <v>5</v>
      </c>
      <c r="BF64" s="10">
        <v>1</v>
      </c>
      <c r="BG64" s="10" t="s">
        <v>118</v>
      </c>
      <c r="BH64" s="10" t="s">
        <v>119</v>
      </c>
      <c r="BI64" s="10" t="b">
        <v>1</v>
      </c>
      <c r="BJ64" s="10">
        <v>1</v>
      </c>
      <c r="BK64" s="10">
        <v>1</v>
      </c>
      <c r="BL64" s="10" t="s">
        <v>115</v>
      </c>
      <c r="BM64" s="10" t="s">
        <v>115</v>
      </c>
      <c r="BN64" s="10">
        <v>18000</v>
      </c>
      <c r="BP64" s="10">
        <v>642383.03949999996</v>
      </c>
      <c r="BQ64" s="10">
        <v>5</v>
      </c>
      <c r="BR64" s="10">
        <v>20</v>
      </c>
      <c r="BS64" s="10">
        <v>100000004</v>
      </c>
      <c r="BT64" s="10" t="s">
        <v>127</v>
      </c>
    </row>
    <row r="65" spans="1:72" s="10" customFormat="1" x14ac:dyDescent="0.25">
      <c r="A65" s="9">
        <v>45839</v>
      </c>
      <c r="B65" s="10" t="s">
        <v>95</v>
      </c>
      <c r="C65" s="10">
        <v>12</v>
      </c>
      <c r="D65" s="10">
        <v>100000001</v>
      </c>
      <c r="E65" s="10">
        <v>4</v>
      </c>
      <c r="F65" s="10">
        <v>4</v>
      </c>
      <c r="G65" s="10" t="s">
        <v>96</v>
      </c>
      <c r="H65" s="10" t="s">
        <v>124</v>
      </c>
      <c r="I65" s="10">
        <v>1</v>
      </c>
      <c r="J65" s="10">
        <v>163186</v>
      </c>
      <c r="K65" s="10">
        <v>24832174</v>
      </c>
      <c r="L65" s="10" t="s">
        <v>98</v>
      </c>
      <c r="M65" s="10">
        <v>1</v>
      </c>
      <c r="N65" s="11" t="s">
        <v>99</v>
      </c>
      <c r="O65" s="10">
        <v>1</v>
      </c>
      <c r="P65" s="10">
        <v>2</v>
      </c>
      <c r="Q65" s="10">
        <v>5</v>
      </c>
      <c r="R65" s="10">
        <v>0</v>
      </c>
      <c r="S65" s="10">
        <v>5</v>
      </c>
      <c r="T65" s="10" t="s">
        <v>100</v>
      </c>
      <c r="U65" s="10" t="s">
        <v>101</v>
      </c>
      <c r="V65" s="10" t="s">
        <v>104</v>
      </c>
      <c r="W65" s="10" t="str">
        <f t="shared" si="0"/>
        <v>Security 64</v>
      </c>
      <c r="X65" s="10" t="s">
        <v>106</v>
      </c>
      <c r="Y65" s="10" t="s">
        <v>107</v>
      </c>
      <c r="Z65" s="10" t="s">
        <v>96</v>
      </c>
      <c r="AA65" s="10" t="s">
        <v>107</v>
      </c>
      <c r="AB65" s="10" t="s">
        <v>107</v>
      </c>
      <c r="AC65" s="10" t="s">
        <v>107</v>
      </c>
      <c r="AD65" s="10" t="s">
        <v>96</v>
      </c>
      <c r="AE65" s="10" t="s">
        <v>96</v>
      </c>
      <c r="AF65" s="10" t="s">
        <v>108</v>
      </c>
      <c r="AG65" s="10" t="b">
        <v>0</v>
      </c>
      <c r="AH65" s="10" t="s">
        <v>96</v>
      </c>
      <c r="AI65" s="10" t="s">
        <v>107</v>
      </c>
      <c r="AJ65" s="10" t="s">
        <v>109</v>
      </c>
      <c r="AL65" s="10">
        <v>1</v>
      </c>
      <c r="AM65" s="10">
        <v>0.25</v>
      </c>
      <c r="AN65" s="10" t="s">
        <v>111</v>
      </c>
      <c r="AO65" s="10" t="s">
        <v>112</v>
      </c>
      <c r="AP65" s="10" t="s">
        <v>113</v>
      </c>
      <c r="AQ65" s="9">
        <v>46204</v>
      </c>
      <c r="AR65" s="9">
        <v>46204</v>
      </c>
      <c r="AS65" s="10" t="s">
        <v>115</v>
      </c>
      <c r="AT65" s="10" t="s">
        <v>115</v>
      </c>
      <c r="AU65" s="10" t="s">
        <v>115</v>
      </c>
      <c r="AV65" s="10" t="str">
        <f t="shared" ref="AV65:AV68" si="10">IF(OR(AT65="",AT65="null"),AX65,AT65)</f>
        <v>USD</v>
      </c>
      <c r="AW65" s="10" t="s">
        <v>115</v>
      </c>
      <c r="AX65" s="10" t="s">
        <v>115</v>
      </c>
      <c r="AY65" s="10" t="s">
        <v>117</v>
      </c>
      <c r="AZ65" s="10">
        <v>5</v>
      </c>
      <c r="BA65" s="10">
        <v>20</v>
      </c>
      <c r="BB65" s="10">
        <v>20</v>
      </c>
      <c r="BC65" s="10">
        <v>5</v>
      </c>
      <c r="BD65" s="10">
        <v>5</v>
      </c>
      <c r="BE65" s="10">
        <v>5</v>
      </c>
      <c r="BF65" s="10">
        <v>1</v>
      </c>
      <c r="BG65" s="10" t="s">
        <v>118</v>
      </c>
      <c r="BH65" s="10" t="s">
        <v>119</v>
      </c>
      <c r="BI65" s="10" t="b">
        <v>1</v>
      </c>
      <c r="BJ65" s="10">
        <v>1</v>
      </c>
      <c r="BK65" s="10">
        <v>1</v>
      </c>
      <c r="BL65" s="10" t="s">
        <v>115</v>
      </c>
      <c r="BM65" s="10" t="s">
        <v>115</v>
      </c>
      <c r="BN65" s="10">
        <v>8000</v>
      </c>
      <c r="BP65" s="10">
        <v>6693482.6610000003</v>
      </c>
      <c r="BQ65" s="10">
        <v>5</v>
      </c>
      <c r="BR65" s="10">
        <v>20</v>
      </c>
      <c r="BS65" s="10">
        <v>100000004</v>
      </c>
      <c r="BT65" s="10" t="s">
        <v>127</v>
      </c>
    </row>
    <row r="66" spans="1:72" s="10" customFormat="1" x14ac:dyDescent="0.25">
      <c r="A66" s="9">
        <v>45839</v>
      </c>
      <c r="B66" s="10" t="s">
        <v>95</v>
      </c>
      <c r="C66" s="10">
        <v>12</v>
      </c>
      <c r="D66" s="10">
        <v>100000001</v>
      </c>
      <c r="E66" s="10">
        <v>4</v>
      </c>
      <c r="F66" s="10">
        <v>4</v>
      </c>
      <c r="G66" s="10" t="s">
        <v>96</v>
      </c>
      <c r="H66" s="10" t="s">
        <v>124</v>
      </c>
      <c r="I66" s="10">
        <v>1</v>
      </c>
      <c r="J66" s="10">
        <v>163186</v>
      </c>
      <c r="K66" s="10">
        <v>2134798174</v>
      </c>
      <c r="L66" s="10" t="s">
        <v>98</v>
      </c>
      <c r="M66" s="10">
        <v>1</v>
      </c>
      <c r="N66" s="11" t="s">
        <v>99</v>
      </c>
      <c r="O66" s="10">
        <v>1</v>
      </c>
      <c r="P66" s="10">
        <v>2</v>
      </c>
      <c r="Q66" s="10">
        <v>5</v>
      </c>
      <c r="R66" s="10">
        <v>0</v>
      </c>
      <c r="S66" s="10">
        <v>5</v>
      </c>
      <c r="T66" s="10" t="s">
        <v>100</v>
      </c>
      <c r="U66" s="10" t="s">
        <v>101</v>
      </c>
      <c r="V66" s="10">
        <v>294382048</v>
      </c>
      <c r="W66" s="10" t="str">
        <f t="shared" si="0"/>
        <v>Security 65</v>
      </c>
      <c r="X66" s="10" t="s">
        <v>106</v>
      </c>
      <c r="Y66" s="10" t="s">
        <v>107</v>
      </c>
      <c r="Z66" s="10" t="s">
        <v>96</v>
      </c>
      <c r="AA66" s="10" t="s">
        <v>107</v>
      </c>
      <c r="AB66" s="10" t="s">
        <v>107</v>
      </c>
      <c r="AC66" s="10" t="s">
        <v>107</v>
      </c>
      <c r="AD66" s="10" t="s">
        <v>96</v>
      </c>
      <c r="AE66" s="10" t="s">
        <v>96</v>
      </c>
      <c r="AF66" s="10" t="s">
        <v>108</v>
      </c>
      <c r="AG66" s="10" t="b">
        <v>0</v>
      </c>
      <c r="AH66" s="10" t="s">
        <v>96</v>
      </c>
      <c r="AI66" s="10" t="s">
        <v>107</v>
      </c>
      <c r="AJ66" s="10" t="s">
        <v>109</v>
      </c>
      <c r="AK66" s="10" t="s">
        <v>110</v>
      </c>
      <c r="AL66" s="10">
        <v>1</v>
      </c>
      <c r="AM66" s="10">
        <v>0.25</v>
      </c>
      <c r="AN66" s="10" t="s">
        <v>111</v>
      </c>
      <c r="AO66" s="10" t="s">
        <v>112</v>
      </c>
      <c r="AP66" s="10" t="s">
        <v>113</v>
      </c>
      <c r="AQ66" s="9">
        <v>46204</v>
      </c>
      <c r="AR66" s="9">
        <v>46204</v>
      </c>
      <c r="AS66" s="10" t="s">
        <v>115</v>
      </c>
      <c r="AT66" s="10" t="s">
        <v>115</v>
      </c>
      <c r="AU66" s="10" t="s">
        <v>115</v>
      </c>
      <c r="AV66" s="10" t="str">
        <f t="shared" si="10"/>
        <v>USD</v>
      </c>
      <c r="AW66" s="10" t="s">
        <v>115</v>
      </c>
      <c r="AX66" s="10" t="s">
        <v>115</v>
      </c>
      <c r="AY66" s="10" t="s">
        <v>116</v>
      </c>
      <c r="AZ66" s="10">
        <v>5</v>
      </c>
      <c r="BA66" s="10">
        <v>20</v>
      </c>
      <c r="BB66" s="10">
        <v>20</v>
      </c>
      <c r="BC66" s="10">
        <v>5</v>
      </c>
      <c r="BD66" s="10">
        <v>5</v>
      </c>
      <c r="BE66" s="10">
        <v>5</v>
      </c>
      <c r="BF66" s="10">
        <v>1</v>
      </c>
      <c r="BG66" s="10" t="s">
        <v>118</v>
      </c>
      <c r="BH66" s="10" t="s">
        <v>119</v>
      </c>
      <c r="BI66" s="10" t="b">
        <v>1</v>
      </c>
      <c r="BJ66" s="10">
        <v>1</v>
      </c>
      <c r="BK66" s="10">
        <v>1</v>
      </c>
      <c r="BL66" s="10" t="s">
        <v>115</v>
      </c>
      <c r="BM66" s="10" t="s">
        <v>115</v>
      </c>
      <c r="BN66" s="10">
        <v>1000</v>
      </c>
      <c r="BP66" s="10">
        <v>316444.55099999998</v>
      </c>
      <c r="BQ66" s="10">
        <v>5</v>
      </c>
      <c r="BR66" s="10">
        <v>20</v>
      </c>
      <c r="BS66" s="10">
        <v>100000004</v>
      </c>
      <c r="BT66" s="10" t="s">
        <v>127</v>
      </c>
    </row>
    <row r="67" spans="1:72" s="10" customFormat="1" x14ac:dyDescent="0.25">
      <c r="A67" s="9">
        <v>45839</v>
      </c>
      <c r="B67" s="10" t="s">
        <v>95</v>
      </c>
      <c r="C67" s="10">
        <v>12</v>
      </c>
      <c r="D67" s="10">
        <v>100000001</v>
      </c>
      <c r="E67" s="10">
        <v>4</v>
      </c>
      <c r="F67" s="10">
        <v>4</v>
      </c>
      <c r="G67" s="10" t="s">
        <v>96</v>
      </c>
      <c r="H67" s="10" t="s">
        <v>124</v>
      </c>
      <c r="I67" s="10">
        <v>15</v>
      </c>
      <c r="J67" s="10">
        <v>163186</v>
      </c>
      <c r="K67" s="10">
        <v>12412314</v>
      </c>
      <c r="L67" s="10" t="s">
        <v>98</v>
      </c>
      <c r="M67" s="10">
        <v>1</v>
      </c>
      <c r="N67" s="11" t="s">
        <v>99</v>
      </c>
      <c r="O67" s="10">
        <v>1</v>
      </c>
      <c r="P67" s="10">
        <v>2</v>
      </c>
      <c r="Q67" s="10">
        <v>5</v>
      </c>
      <c r="R67" s="10">
        <v>0</v>
      </c>
      <c r="S67" s="10">
        <v>5</v>
      </c>
      <c r="T67" s="10" t="s">
        <v>100</v>
      </c>
      <c r="U67" s="10" t="s">
        <v>101</v>
      </c>
      <c r="V67" s="10" t="s">
        <v>105</v>
      </c>
      <c r="W67" s="10" t="str">
        <f t="shared" ref="W67:W89" si="11">_xlfn.CONCAT("Security ",ROW()-1)</f>
        <v>Security 66</v>
      </c>
      <c r="X67" s="10" t="s">
        <v>106</v>
      </c>
      <c r="Y67" s="10" t="s">
        <v>107</v>
      </c>
      <c r="Z67" s="10" t="s">
        <v>96</v>
      </c>
      <c r="AA67" s="10" t="s">
        <v>107</v>
      </c>
      <c r="AB67" s="10" t="s">
        <v>107</v>
      </c>
      <c r="AC67" s="10" t="s">
        <v>107</v>
      </c>
      <c r="AD67" s="10" t="s">
        <v>96</v>
      </c>
      <c r="AE67" s="10" t="s">
        <v>96</v>
      </c>
      <c r="AF67" s="10" t="s">
        <v>108</v>
      </c>
      <c r="AG67" s="10" t="b">
        <v>0</v>
      </c>
      <c r="AH67" s="10" t="s">
        <v>96</v>
      </c>
      <c r="AI67" s="10" t="s">
        <v>107</v>
      </c>
      <c r="AJ67" s="10" t="s">
        <v>109</v>
      </c>
      <c r="AL67" s="10">
        <v>1</v>
      </c>
      <c r="AM67" s="10">
        <v>0.25</v>
      </c>
      <c r="AN67" s="10" t="s">
        <v>111</v>
      </c>
      <c r="AO67" s="10" t="s">
        <v>112</v>
      </c>
      <c r="AP67" s="10" t="s">
        <v>113</v>
      </c>
      <c r="AQ67" s="9">
        <v>46204</v>
      </c>
      <c r="AR67" s="9">
        <v>46204</v>
      </c>
      <c r="AS67" s="10" t="s">
        <v>115</v>
      </c>
      <c r="AT67" s="10" t="s">
        <v>115</v>
      </c>
      <c r="AV67" s="10" t="str">
        <f t="shared" si="10"/>
        <v>USD</v>
      </c>
      <c r="AW67" s="10" t="s">
        <v>115</v>
      </c>
      <c r="AX67" s="10" t="s">
        <v>115</v>
      </c>
      <c r="AY67" s="10" t="s">
        <v>116</v>
      </c>
      <c r="AZ67" s="10">
        <v>5</v>
      </c>
      <c r="BA67" s="10">
        <v>20</v>
      </c>
      <c r="BB67" s="10">
        <v>20</v>
      </c>
      <c r="BC67" s="10">
        <v>5</v>
      </c>
      <c r="BD67" s="10">
        <v>5</v>
      </c>
      <c r="BE67" s="10">
        <v>5</v>
      </c>
      <c r="BF67" s="10">
        <v>1</v>
      </c>
      <c r="BG67" s="10" t="s">
        <v>118</v>
      </c>
      <c r="BH67" s="10" t="s">
        <v>119</v>
      </c>
      <c r="BI67" s="10" t="b">
        <v>1</v>
      </c>
      <c r="BJ67" s="10">
        <v>1</v>
      </c>
      <c r="BK67" s="10">
        <v>1</v>
      </c>
      <c r="BM67" s="10" t="s">
        <v>115</v>
      </c>
      <c r="BN67" s="10">
        <v>20000</v>
      </c>
      <c r="BP67" s="10">
        <v>1584500</v>
      </c>
      <c r="BQ67" s="10">
        <v>5</v>
      </c>
      <c r="BR67" s="10">
        <v>20</v>
      </c>
      <c r="BS67" s="10">
        <v>100000004</v>
      </c>
      <c r="BT67" s="10" t="s">
        <v>127</v>
      </c>
    </row>
    <row r="68" spans="1:72" s="10" customFormat="1" x14ac:dyDescent="0.25">
      <c r="A68" s="9">
        <v>45839</v>
      </c>
      <c r="B68" s="10" t="s">
        <v>95</v>
      </c>
      <c r="C68" s="10">
        <v>12</v>
      </c>
      <c r="D68" s="10">
        <v>100000001</v>
      </c>
      <c r="E68" s="10">
        <v>4</v>
      </c>
      <c r="F68" s="10">
        <v>4</v>
      </c>
      <c r="G68" s="10" t="s">
        <v>96</v>
      </c>
      <c r="H68" s="10" t="s">
        <v>124</v>
      </c>
      <c r="I68" s="10">
        <v>1</v>
      </c>
      <c r="J68" s="10">
        <v>163186</v>
      </c>
      <c r="K68" s="10">
        <v>654361134</v>
      </c>
      <c r="L68" s="10" t="s">
        <v>98</v>
      </c>
      <c r="M68" s="10">
        <v>1</v>
      </c>
      <c r="N68" s="11" t="s">
        <v>99</v>
      </c>
      <c r="O68" s="10">
        <v>1</v>
      </c>
      <c r="P68" s="10">
        <v>2</v>
      </c>
      <c r="Q68" s="10">
        <v>5</v>
      </c>
      <c r="R68" s="10">
        <v>0</v>
      </c>
      <c r="S68" s="10">
        <v>40</v>
      </c>
      <c r="T68" s="10" t="s">
        <v>100</v>
      </c>
      <c r="U68" s="10" t="s">
        <v>101</v>
      </c>
      <c r="V68" s="10">
        <v>128934523</v>
      </c>
      <c r="W68" s="10" t="str">
        <f t="shared" si="11"/>
        <v>Security 67</v>
      </c>
      <c r="X68" s="10" t="s">
        <v>106</v>
      </c>
      <c r="Y68" s="10" t="s">
        <v>107</v>
      </c>
      <c r="Z68" s="10" t="s">
        <v>96</v>
      </c>
      <c r="AA68" s="10" t="s">
        <v>96</v>
      </c>
      <c r="AB68" s="10" t="s">
        <v>107</v>
      </c>
      <c r="AC68" s="10" t="s">
        <v>107</v>
      </c>
      <c r="AD68" s="10" t="s">
        <v>96</v>
      </c>
      <c r="AE68" s="10" t="s">
        <v>96</v>
      </c>
      <c r="AF68" s="10" t="s">
        <v>108</v>
      </c>
      <c r="AG68" s="10" t="b">
        <v>0</v>
      </c>
      <c r="AH68" s="10" t="s">
        <v>96</v>
      </c>
      <c r="AI68" s="10" t="s">
        <v>107</v>
      </c>
      <c r="AJ68" s="10" t="s">
        <v>109</v>
      </c>
      <c r="AL68" s="10">
        <v>1</v>
      </c>
      <c r="AM68" s="10">
        <v>0.25</v>
      </c>
      <c r="AN68" s="10" t="s">
        <v>111</v>
      </c>
      <c r="AO68" s="10" t="s">
        <v>112</v>
      </c>
      <c r="AP68" s="10" t="s">
        <v>113</v>
      </c>
      <c r="AQ68" s="9">
        <v>46204</v>
      </c>
      <c r="AR68" s="9">
        <v>46204</v>
      </c>
      <c r="AS68" s="10" t="s">
        <v>115</v>
      </c>
      <c r="AT68" s="10" t="s">
        <v>115</v>
      </c>
      <c r="AU68" s="10" t="s">
        <v>115</v>
      </c>
      <c r="AV68" s="10" t="str">
        <f t="shared" si="10"/>
        <v>USD</v>
      </c>
      <c r="AW68" s="10" t="s">
        <v>115</v>
      </c>
      <c r="AX68" s="10" t="s">
        <v>115</v>
      </c>
      <c r="AY68" s="10" t="s">
        <v>116</v>
      </c>
      <c r="AZ68" s="10">
        <v>5</v>
      </c>
      <c r="BA68" s="10">
        <v>20</v>
      </c>
      <c r="BB68" s="10">
        <v>20</v>
      </c>
      <c r="BC68" s="10">
        <v>5</v>
      </c>
      <c r="BD68" s="10">
        <v>5</v>
      </c>
      <c r="BE68" s="10">
        <v>5</v>
      </c>
      <c r="BF68" s="10">
        <v>1</v>
      </c>
      <c r="BG68" s="10" t="s">
        <v>118</v>
      </c>
      <c r="BH68" s="10" t="s">
        <v>119</v>
      </c>
      <c r="BI68" s="10" t="b">
        <v>1</v>
      </c>
      <c r="BJ68" s="10">
        <v>0</v>
      </c>
      <c r="BK68" s="10">
        <v>1</v>
      </c>
      <c r="BL68" s="10" t="s">
        <v>115</v>
      </c>
      <c r="BM68" s="10" t="s">
        <v>115</v>
      </c>
      <c r="BN68" s="10">
        <v>20000</v>
      </c>
      <c r="BP68" s="10">
        <v>127622</v>
      </c>
      <c r="BQ68" s="10">
        <v>5</v>
      </c>
      <c r="BR68" s="10">
        <v>20</v>
      </c>
      <c r="BS68" s="10">
        <v>100000004</v>
      </c>
      <c r="BT68" s="10" t="s">
        <v>127</v>
      </c>
    </row>
    <row r="69" spans="1:72" x14ac:dyDescent="0.25">
      <c r="A69" s="5">
        <v>45839</v>
      </c>
      <c r="B69" t="s">
        <v>95</v>
      </c>
      <c r="C69">
        <v>12</v>
      </c>
      <c r="D69">
        <v>100000005</v>
      </c>
      <c r="E69">
        <v>5</v>
      </c>
      <c r="F69">
        <v>5</v>
      </c>
      <c r="G69" t="s">
        <v>96</v>
      </c>
      <c r="H69" t="s">
        <v>124</v>
      </c>
      <c r="I69">
        <v>1</v>
      </c>
      <c r="J69">
        <v>163186</v>
      </c>
      <c r="K69">
        <v>34185972</v>
      </c>
      <c r="L69" t="s">
        <v>98</v>
      </c>
      <c r="M69">
        <v>1</v>
      </c>
      <c r="N69" s="3" t="s">
        <v>99</v>
      </c>
      <c r="O69">
        <v>1</v>
      </c>
      <c r="P69">
        <v>2</v>
      </c>
      <c r="Q69">
        <v>40</v>
      </c>
      <c r="R69">
        <v>20</v>
      </c>
      <c r="S69">
        <v>40</v>
      </c>
      <c r="T69" t="s">
        <v>135</v>
      </c>
      <c r="U69" t="s">
        <v>101</v>
      </c>
      <c r="V69">
        <v>128949123</v>
      </c>
      <c r="W69" t="str">
        <f t="shared" si="11"/>
        <v>Security 68</v>
      </c>
      <c r="X69" t="s">
        <v>106</v>
      </c>
      <c r="Y69" t="s">
        <v>107</v>
      </c>
      <c r="Z69" t="s">
        <v>107</v>
      </c>
      <c r="AA69" t="s">
        <v>96</v>
      </c>
      <c r="AB69" t="s">
        <v>107</v>
      </c>
      <c r="AC69" t="s">
        <v>107</v>
      </c>
      <c r="AD69" t="s">
        <v>96</v>
      </c>
      <c r="AE69" t="s">
        <v>107</v>
      </c>
      <c r="AF69" t="s">
        <v>108</v>
      </c>
      <c r="AG69" t="b">
        <v>0</v>
      </c>
      <c r="AH69" t="s">
        <v>96</v>
      </c>
      <c r="AI69" t="s">
        <v>107</v>
      </c>
      <c r="AJ69" t="s">
        <v>109</v>
      </c>
      <c r="AL69">
        <v>1</v>
      </c>
      <c r="AM69">
        <v>0.25</v>
      </c>
      <c r="AN69" t="s">
        <v>120</v>
      </c>
      <c r="AO69" t="s">
        <v>139</v>
      </c>
      <c r="AP69" t="s">
        <v>113</v>
      </c>
      <c r="AQ69" s="5">
        <v>47772</v>
      </c>
      <c r="AR69" s="5">
        <v>47772</v>
      </c>
      <c r="AS69" t="s">
        <v>115</v>
      </c>
      <c r="AT69" t="s">
        <v>115</v>
      </c>
      <c r="AU69" t="s">
        <v>115</v>
      </c>
      <c r="AV69" t="s">
        <v>115</v>
      </c>
      <c r="AW69" t="s">
        <v>115</v>
      </c>
      <c r="AX69" t="s">
        <v>115</v>
      </c>
      <c r="AY69" t="s">
        <v>116</v>
      </c>
      <c r="AZ69">
        <v>40</v>
      </c>
      <c r="BA69">
        <v>20</v>
      </c>
      <c r="BB69">
        <v>20</v>
      </c>
      <c r="BC69">
        <v>5</v>
      </c>
      <c r="BD69">
        <v>5</v>
      </c>
      <c r="BE69">
        <v>40</v>
      </c>
      <c r="BF69">
        <v>1</v>
      </c>
      <c r="BG69" t="s">
        <v>118</v>
      </c>
      <c r="BH69" t="s">
        <v>134</v>
      </c>
      <c r="BI69" t="b">
        <v>1</v>
      </c>
      <c r="BJ69">
        <v>0</v>
      </c>
      <c r="BK69">
        <v>1</v>
      </c>
      <c r="BL69" t="s">
        <v>115</v>
      </c>
      <c r="BM69" t="s">
        <v>115</v>
      </c>
      <c r="BN69">
        <v>243134</v>
      </c>
      <c r="BO69">
        <v>1807645.81</v>
      </c>
      <c r="BP69">
        <v>2093791.94</v>
      </c>
      <c r="BQ69">
        <v>5</v>
      </c>
      <c r="BR69">
        <v>40</v>
      </c>
      <c r="BS69">
        <v>100000005</v>
      </c>
      <c r="BT69" t="s">
        <v>128</v>
      </c>
    </row>
    <row r="70" spans="1:72" x14ac:dyDescent="0.25">
      <c r="A70" s="5">
        <v>45839</v>
      </c>
      <c r="B70" t="s">
        <v>95</v>
      </c>
      <c r="C70">
        <v>12</v>
      </c>
      <c r="D70">
        <v>100000005</v>
      </c>
      <c r="E70">
        <v>5</v>
      </c>
      <c r="F70">
        <v>5</v>
      </c>
      <c r="G70" t="s">
        <v>96</v>
      </c>
      <c r="H70" t="s">
        <v>124</v>
      </c>
      <c r="I70">
        <v>1</v>
      </c>
      <c r="J70">
        <v>163186</v>
      </c>
      <c r="K70">
        <v>65720439</v>
      </c>
      <c r="L70" t="s">
        <v>98</v>
      </c>
      <c r="M70">
        <v>1</v>
      </c>
      <c r="N70" s="3" t="s">
        <v>99</v>
      </c>
      <c r="O70">
        <v>1</v>
      </c>
      <c r="P70">
        <v>2</v>
      </c>
      <c r="Q70">
        <v>40</v>
      </c>
      <c r="R70">
        <v>20</v>
      </c>
      <c r="S70">
        <v>40</v>
      </c>
      <c r="T70" t="s">
        <v>135</v>
      </c>
      <c r="U70" t="s">
        <v>101</v>
      </c>
      <c r="V70" t="s">
        <v>137</v>
      </c>
      <c r="W70" t="str">
        <f t="shared" si="11"/>
        <v>Security 69</v>
      </c>
      <c r="X70" t="s">
        <v>106</v>
      </c>
      <c r="Y70" t="s">
        <v>107</v>
      </c>
      <c r="Z70" t="s">
        <v>107</v>
      </c>
      <c r="AA70" t="s">
        <v>96</v>
      </c>
      <c r="AB70" t="s">
        <v>107</v>
      </c>
      <c r="AC70" t="s">
        <v>107</v>
      </c>
      <c r="AD70" t="s">
        <v>96</v>
      </c>
      <c r="AE70" t="s">
        <v>107</v>
      </c>
      <c r="AF70" t="s">
        <v>108</v>
      </c>
      <c r="AG70" t="b">
        <v>0</v>
      </c>
      <c r="AH70" t="s">
        <v>96</v>
      </c>
      <c r="AI70" t="s">
        <v>107</v>
      </c>
      <c r="AJ70" t="s">
        <v>109</v>
      </c>
      <c r="AL70">
        <v>1</v>
      </c>
      <c r="AM70">
        <v>0.25</v>
      </c>
      <c r="AN70" t="s">
        <v>111</v>
      </c>
      <c r="AO70" t="s">
        <v>139</v>
      </c>
      <c r="AP70" t="s">
        <v>113</v>
      </c>
      <c r="AQ70" s="5">
        <v>47864</v>
      </c>
      <c r="AR70" s="5">
        <v>47864</v>
      </c>
      <c r="AS70" t="s">
        <v>115</v>
      </c>
      <c r="AT70" t="s">
        <v>115</v>
      </c>
      <c r="AU70" t="s">
        <v>115</v>
      </c>
      <c r="AV70" t="s">
        <v>115</v>
      </c>
      <c r="AW70" t="s">
        <v>115</v>
      </c>
      <c r="AX70" t="s">
        <v>115</v>
      </c>
      <c r="AY70" t="s">
        <v>116</v>
      </c>
      <c r="AZ70">
        <v>40</v>
      </c>
      <c r="BA70">
        <v>20</v>
      </c>
      <c r="BB70">
        <v>20</v>
      </c>
      <c r="BC70">
        <v>5</v>
      </c>
      <c r="BD70">
        <v>5</v>
      </c>
      <c r="BE70">
        <v>40</v>
      </c>
      <c r="BF70">
        <v>1</v>
      </c>
      <c r="BG70" t="s">
        <v>118</v>
      </c>
      <c r="BH70" t="s">
        <v>134</v>
      </c>
      <c r="BI70" t="b">
        <v>1</v>
      </c>
      <c r="BJ70">
        <v>0</v>
      </c>
      <c r="BK70">
        <v>1</v>
      </c>
      <c r="BL70" t="s">
        <v>115</v>
      </c>
      <c r="BM70" t="s">
        <v>115</v>
      </c>
      <c r="BN70">
        <v>18000</v>
      </c>
      <c r="BO70">
        <v>1915176059</v>
      </c>
      <c r="BP70">
        <v>1700000000</v>
      </c>
      <c r="BQ70">
        <v>5</v>
      </c>
      <c r="BR70">
        <v>40</v>
      </c>
      <c r="BS70">
        <v>100000005</v>
      </c>
      <c r="BT70" t="s">
        <v>128</v>
      </c>
    </row>
    <row r="71" spans="1:72" x14ac:dyDescent="0.25">
      <c r="A71" s="5">
        <v>45839</v>
      </c>
      <c r="B71" t="s">
        <v>95</v>
      </c>
      <c r="C71">
        <v>12</v>
      </c>
      <c r="D71">
        <v>100000005</v>
      </c>
      <c r="E71">
        <v>5</v>
      </c>
      <c r="F71">
        <v>5</v>
      </c>
      <c r="G71" t="s">
        <v>96</v>
      </c>
      <c r="H71" t="s">
        <v>124</v>
      </c>
      <c r="I71">
        <v>1</v>
      </c>
      <c r="J71">
        <v>163186</v>
      </c>
      <c r="K71">
        <v>39684175</v>
      </c>
      <c r="L71" t="s">
        <v>98</v>
      </c>
      <c r="M71">
        <v>1</v>
      </c>
      <c r="N71" s="3" t="s">
        <v>99</v>
      </c>
      <c r="O71">
        <v>1</v>
      </c>
      <c r="P71">
        <v>2</v>
      </c>
      <c r="Q71">
        <v>20</v>
      </c>
      <c r="R71">
        <v>20</v>
      </c>
      <c r="S71">
        <v>20</v>
      </c>
      <c r="T71" t="s">
        <v>136</v>
      </c>
      <c r="U71" t="s">
        <v>101</v>
      </c>
      <c r="V71">
        <v>325892398</v>
      </c>
      <c r="W71" t="str">
        <f t="shared" si="11"/>
        <v>Security 70</v>
      </c>
      <c r="X71" t="s">
        <v>106</v>
      </c>
      <c r="Y71" t="s">
        <v>107</v>
      </c>
      <c r="Z71" t="s">
        <v>107</v>
      </c>
      <c r="AA71" t="s">
        <v>96</v>
      </c>
      <c r="AB71" t="s">
        <v>107</v>
      </c>
      <c r="AC71" t="s">
        <v>107</v>
      </c>
      <c r="AD71" t="s">
        <v>96</v>
      </c>
      <c r="AE71" t="s">
        <v>107</v>
      </c>
      <c r="AF71" t="s">
        <v>108</v>
      </c>
      <c r="AG71" t="b">
        <v>0</v>
      </c>
      <c r="AH71" t="s">
        <v>96</v>
      </c>
      <c r="AI71" t="s">
        <v>107</v>
      </c>
      <c r="AJ71" t="s">
        <v>109</v>
      </c>
      <c r="AL71">
        <v>1</v>
      </c>
      <c r="AM71">
        <v>0.24</v>
      </c>
      <c r="AN71" t="s">
        <v>111</v>
      </c>
      <c r="AO71" t="s">
        <v>140</v>
      </c>
      <c r="AP71" t="s">
        <v>113</v>
      </c>
      <c r="AQ71" s="5">
        <v>11247</v>
      </c>
      <c r="AR71" s="5">
        <v>11247</v>
      </c>
      <c r="AS71" t="s">
        <v>115</v>
      </c>
      <c r="AT71" t="s">
        <v>115</v>
      </c>
      <c r="AU71" t="s">
        <v>115</v>
      </c>
      <c r="AV71" t="s">
        <v>115</v>
      </c>
      <c r="AW71" t="s">
        <v>115</v>
      </c>
      <c r="AX71" t="s">
        <v>115</v>
      </c>
      <c r="AY71" t="s">
        <v>116</v>
      </c>
      <c r="AZ71">
        <v>20</v>
      </c>
      <c r="BA71">
        <v>20</v>
      </c>
      <c r="BB71">
        <v>20</v>
      </c>
      <c r="BC71">
        <v>5</v>
      </c>
      <c r="BD71">
        <v>5</v>
      </c>
      <c r="BE71">
        <v>20</v>
      </c>
      <c r="BF71">
        <v>1</v>
      </c>
      <c r="BG71" t="s">
        <v>118</v>
      </c>
      <c r="BH71" t="s">
        <v>134</v>
      </c>
      <c r="BI71" t="b">
        <v>1</v>
      </c>
      <c r="BJ71">
        <v>0</v>
      </c>
      <c r="BK71">
        <v>1</v>
      </c>
      <c r="BL71" t="s">
        <v>115</v>
      </c>
      <c r="BM71" t="s">
        <v>115</v>
      </c>
      <c r="BN71">
        <v>7000</v>
      </c>
      <c r="BO71">
        <v>31485709.75</v>
      </c>
      <c r="BP71">
        <v>29468459.190000001</v>
      </c>
      <c r="BQ71">
        <v>5</v>
      </c>
      <c r="BR71">
        <v>20</v>
      </c>
      <c r="BS71">
        <v>100000005</v>
      </c>
      <c r="BT71" t="s">
        <v>128</v>
      </c>
    </row>
    <row r="72" spans="1:72" x14ac:dyDescent="0.25">
      <c r="A72" s="5">
        <v>45839</v>
      </c>
      <c r="B72" t="s">
        <v>95</v>
      </c>
      <c r="C72">
        <v>12</v>
      </c>
      <c r="D72">
        <v>100000005</v>
      </c>
      <c r="E72">
        <v>5</v>
      </c>
      <c r="F72">
        <v>5</v>
      </c>
      <c r="G72" t="s">
        <v>96</v>
      </c>
      <c r="H72" t="s">
        <v>124</v>
      </c>
      <c r="I72">
        <v>1</v>
      </c>
      <c r="J72">
        <v>163186</v>
      </c>
      <c r="K72">
        <v>52319084</v>
      </c>
      <c r="L72" t="s">
        <v>98</v>
      </c>
      <c r="M72">
        <v>1</v>
      </c>
      <c r="N72" s="3" t="s">
        <v>99</v>
      </c>
      <c r="O72">
        <v>1</v>
      </c>
      <c r="P72">
        <v>2</v>
      </c>
      <c r="Q72">
        <v>20</v>
      </c>
      <c r="R72">
        <v>5</v>
      </c>
      <c r="S72">
        <v>20</v>
      </c>
      <c r="T72" t="s">
        <v>136</v>
      </c>
      <c r="U72" t="s">
        <v>101</v>
      </c>
      <c r="V72" t="s">
        <v>138</v>
      </c>
      <c r="W72" t="str">
        <f t="shared" si="11"/>
        <v>Security 71</v>
      </c>
      <c r="X72" t="s">
        <v>106</v>
      </c>
      <c r="Y72" t="s">
        <v>107</v>
      </c>
      <c r="Z72" t="s">
        <v>107</v>
      </c>
      <c r="AA72" t="s">
        <v>107</v>
      </c>
      <c r="AB72" t="s">
        <v>107</v>
      </c>
      <c r="AC72" t="s">
        <v>107</v>
      </c>
      <c r="AD72" t="s">
        <v>96</v>
      </c>
      <c r="AE72" t="s">
        <v>107</v>
      </c>
      <c r="AF72" t="s">
        <v>108</v>
      </c>
      <c r="AG72" t="b">
        <v>0</v>
      </c>
      <c r="AH72" t="s">
        <v>96</v>
      </c>
      <c r="AI72" t="s">
        <v>107</v>
      </c>
      <c r="AJ72" t="s">
        <v>109</v>
      </c>
      <c r="AL72">
        <v>1</v>
      </c>
      <c r="AM72">
        <v>0.24</v>
      </c>
      <c r="AN72" t="s">
        <v>111</v>
      </c>
      <c r="AO72" t="s">
        <v>140</v>
      </c>
      <c r="AP72" t="s">
        <v>113</v>
      </c>
      <c r="AQ72" s="5">
        <v>47589</v>
      </c>
      <c r="AR72" s="5">
        <v>47589</v>
      </c>
      <c r="AS72" t="s">
        <v>115</v>
      </c>
      <c r="AT72" t="s">
        <v>115</v>
      </c>
      <c r="AU72" t="s">
        <v>115</v>
      </c>
      <c r="AV72" t="s">
        <v>115</v>
      </c>
      <c r="AW72" t="s">
        <v>115</v>
      </c>
      <c r="AX72" t="s">
        <v>115</v>
      </c>
      <c r="AY72" t="s">
        <v>117</v>
      </c>
      <c r="AZ72">
        <v>20</v>
      </c>
      <c r="BA72">
        <v>20</v>
      </c>
      <c r="BB72">
        <v>20</v>
      </c>
      <c r="BC72">
        <v>5</v>
      </c>
      <c r="BD72">
        <v>5</v>
      </c>
      <c r="BE72">
        <v>20</v>
      </c>
      <c r="BF72">
        <v>1</v>
      </c>
      <c r="BG72" t="s">
        <v>118</v>
      </c>
      <c r="BH72" t="s">
        <v>134</v>
      </c>
      <c r="BI72" t="b">
        <v>1</v>
      </c>
      <c r="BJ72">
        <v>1</v>
      </c>
      <c r="BK72">
        <v>1</v>
      </c>
      <c r="BL72" t="s">
        <v>115</v>
      </c>
      <c r="BM72" t="s">
        <v>115</v>
      </c>
      <c r="BN72">
        <v>20000</v>
      </c>
      <c r="BO72">
        <v>1</v>
      </c>
      <c r="BP72">
        <v>20885570.18</v>
      </c>
      <c r="BQ72">
        <v>5</v>
      </c>
      <c r="BR72">
        <v>20</v>
      </c>
      <c r="BS72">
        <v>100000005</v>
      </c>
      <c r="BT72" t="s">
        <v>128</v>
      </c>
    </row>
    <row r="73" spans="1:72" x14ac:dyDescent="0.25">
      <c r="A73" s="5">
        <v>45839</v>
      </c>
      <c r="B73" t="s">
        <v>95</v>
      </c>
      <c r="C73">
        <v>12</v>
      </c>
      <c r="D73">
        <v>100000005</v>
      </c>
      <c r="E73">
        <v>5</v>
      </c>
      <c r="F73">
        <v>5</v>
      </c>
      <c r="G73" t="s">
        <v>96</v>
      </c>
      <c r="H73" t="s">
        <v>124</v>
      </c>
      <c r="I73">
        <v>1</v>
      </c>
      <c r="J73">
        <v>163186</v>
      </c>
      <c r="K73">
        <v>76921530</v>
      </c>
      <c r="L73" t="s">
        <v>98</v>
      </c>
      <c r="M73">
        <v>1</v>
      </c>
      <c r="N73" s="3" t="s">
        <v>99</v>
      </c>
      <c r="O73">
        <v>1</v>
      </c>
      <c r="P73">
        <v>2</v>
      </c>
      <c r="Q73">
        <v>20</v>
      </c>
      <c r="R73">
        <v>20</v>
      </c>
      <c r="S73">
        <v>20</v>
      </c>
      <c r="T73" t="s">
        <v>136</v>
      </c>
      <c r="U73" t="s">
        <v>101</v>
      </c>
      <c r="V73">
        <v>162329422</v>
      </c>
      <c r="W73" t="str">
        <f t="shared" si="11"/>
        <v>Security 72</v>
      </c>
      <c r="X73" t="s">
        <v>106</v>
      </c>
      <c r="Y73" t="s">
        <v>107</v>
      </c>
      <c r="Z73" t="s">
        <v>107</v>
      </c>
      <c r="AA73" t="s">
        <v>107</v>
      </c>
      <c r="AB73" t="s">
        <v>107</v>
      </c>
      <c r="AC73" t="s">
        <v>107</v>
      </c>
      <c r="AD73" t="s">
        <v>96</v>
      </c>
      <c r="AE73" t="s">
        <v>107</v>
      </c>
      <c r="AF73" t="s">
        <v>108</v>
      </c>
      <c r="AG73" t="b">
        <v>0</v>
      </c>
      <c r="AH73" t="s">
        <v>96</v>
      </c>
      <c r="AI73" t="s">
        <v>107</v>
      </c>
      <c r="AJ73" t="s">
        <v>109</v>
      </c>
      <c r="AL73">
        <v>1</v>
      </c>
      <c r="AM73">
        <v>0.24</v>
      </c>
      <c r="AN73" t="s">
        <v>120</v>
      </c>
      <c r="AO73" t="s">
        <v>140</v>
      </c>
      <c r="AP73" t="s">
        <v>113</v>
      </c>
      <c r="AQ73" s="5">
        <v>47589</v>
      </c>
      <c r="AR73" s="5">
        <v>47589</v>
      </c>
      <c r="AS73" t="s">
        <v>115</v>
      </c>
      <c r="AT73" t="s">
        <v>115</v>
      </c>
      <c r="AU73" t="s">
        <v>115</v>
      </c>
      <c r="AV73" t="s">
        <v>115</v>
      </c>
      <c r="AW73" t="s">
        <v>115</v>
      </c>
      <c r="AX73" t="s">
        <v>115</v>
      </c>
      <c r="AY73" t="s">
        <v>117</v>
      </c>
      <c r="AZ73">
        <v>20</v>
      </c>
      <c r="BA73">
        <v>20</v>
      </c>
      <c r="BB73">
        <v>20</v>
      </c>
      <c r="BC73">
        <v>5</v>
      </c>
      <c r="BD73">
        <v>5</v>
      </c>
      <c r="BE73">
        <v>20</v>
      </c>
      <c r="BF73">
        <v>1</v>
      </c>
      <c r="BG73" t="s">
        <v>118</v>
      </c>
      <c r="BH73" t="s">
        <v>134</v>
      </c>
      <c r="BI73" t="b">
        <v>1</v>
      </c>
      <c r="BJ73">
        <v>1</v>
      </c>
      <c r="BK73">
        <v>1</v>
      </c>
      <c r="BL73" t="s">
        <v>115</v>
      </c>
      <c r="BM73" t="s">
        <v>115</v>
      </c>
      <c r="BN73">
        <v>12341</v>
      </c>
      <c r="BO73">
        <v>1</v>
      </c>
      <c r="BP73">
        <v>2001800</v>
      </c>
      <c r="BQ73">
        <v>5</v>
      </c>
      <c r="BR73">
        <v>20</v>
      </c>
      <c r="BS73">
        <v>100000005</v>
      </c>
      <c r="BT73" t="s">
        <v>128</v>
      </c>
    </row>
    <row r="74" spans="1:72" s="10" customFormat="1" x14ac:dyDescent="0.25">
      <c r="A74" s="9">
        <v>45839</v>
      </c>
      <c r="B74" s="10" t="s">
        <v>95</v>
      </c>
      <c r="C74" s="10">
        <v>12</v>
      </c>
      <c r="D74" s="10">
        <v>100000001</v>
      </c>
      <c r="E74" s="10">
        <v>6</v>
      </c>
      <c r="F74" s="10">
        <v>6</v>
      </c>
      <c r="G74" s="10" t="s">
        <v>96</v>
      </c>
      <c r="H74" s="10" t="s">
        <v>124</v>
      </c>
      <c r="I74" s="10">
        <v>1</v>
      </c>
      <c r="J74" s="10">
        <v>163186</v>
      </c>
      <c r="K74" s="10">
        <v>34663451</v>
      </c>
      <c r="L74" s="10" t="s">
        <v>98</v>
      </c>
      <c r="M74" s="10">
        <v>1</v>
      </c>
      <c r="N74" s="11" t="s">
        <v>99</v>
      </c>
      <c r="O74" s="10">
        <v>1</v>
      </c>
      <c r="P74" s="10">
        <v>2</v>
      </c>
      <c r="Q74" s="10">
        <v>5</v>
      </c>
      <c r="R74" s="10">
        <v>0</v>
      </c>
      <c r="S74" s="10">
        <v>5</v>
      </c>
      <c r="T74" s="10" t="s">
        <v>100</v>
      </c>
      <c r="U74" s="10" t="s">
        <v>101</v>
      </c>
      <c r="V74" s="10">
        <v>43291048</v>
      </c>
      <c r="W74" s="10" t="str">
        <f t="shared" si="11"/>
        <v>Security 73</v>
      </c>
      <c r="X74" s="10" t="s">
        <v>106</v>
      </c>
      <c r="Y74" s="10" t="s">
        <v>107</v>
      </c>
      <c r="Z74" s="10" t="s">
        <v>96</v>
      </c>
      <c r="AA74" s="10" t="s">
        <v>107</v>
      </c>
      <c r="AB74" s="10" t="s">
        <v>107</v>
      </c>
      <c r="AC74" s="10" t="s">
        <v>107</v>
      </c>
      <c r="AD74" s="10" t="s">
        <v>96</v>
      </c>
      <c r="AE74" s="10" t="s">
        <v>96</v>
      </c>
      <c r="AF74" s="10" t="s">
        <v>108</v>
      </c>
      <c r="AG74" s="10" t="b">
        <v>0</v>
      </c>
      <c r="AH74" s="10" t="s">
        <v>96</v>
      </c>
      <c r="AI74" s="10" t="s">
        <v>107</v>
      </c>
      <c r="AJ74" s="10" t="s">
        <v>109</v>
      </c>
      <c r="AL74" s="10">
        <v>1</v>
      </c>
      <c r="AM74" s="10">
        <v>0.15</v>
      </c>
      <c r="AN74" s="10" t="s">
        <v>111</v>
      </c>
      <c r="AO74" s="10" t="s">
        <v>112</v>
      </c>
      <c r="AP74" s="10" t="s">
        <v>113</v>
      </c>
      <c r="AQ74" s="9">
        <v>46204</v>
      </c>
      <c r="AR74" s="9">
        <v>46204</v>
      </c>
      <c r="AS74" s="10" t="s">
        <v>115</v>
      </c>
      <c r="AT74" s="10" t="s">
        <v>115</v>
      </c>
      <c r="AU74" s="10" t="s">
        <v>115</v>
      </c>
      <c r="AV74" s="10" t="s">
        <v>115</v>
      </c>
      <c r="AW74" s="10" t="s">
        <v>115</v>
      </c>
      <c r="AX74" s="10" t="s">
        <v>115</v>
      </c>
      <c r="AY74" s="10" t="s">
        <v>116</v>
      </c>
      <c r="AZ74" s="10">
        <v>5</v>
      </c>
      <c r="BA74" s="10">
        <v>20</v>
      </c>
      <c r="BB74" s="10">
        <v>20</v>
      </c>
      <c r="BC74" s="10">
        <v>5</v>
      </c>
      <c r="BD74" s="10">
        <v>5</v>
      </c>
      <c r="BE74" s="10">
        <v>5</v>
      </c>
      <c r="BF74" s="10">
        <v>1</v>
      </c>
      <c r="BG74" s="10" t="s">
        <v>118</v>
      </c>
      <c r="BH74" s="10" t="s">
        <v>119</v>
      </c>
      <c r="BI74" s="10" t="b">
        <v>1</v>
      </c>
      <c r="BJ74" s="10">
        <v>1</v>
      </c>
      <c r="BK74" s="10">
        <v>1</v>
      </c>
      <c r="BL74" s="10" t="s">
        <v>115</v>
      </c>
      <c r="BM74" s="10" t="s">
        <v>115</v>
      </c>
      <c r="BN74" s="10">
        <v>10000</v>
      </c>
      <c r="BO74" s="10">
        <v>0</v>
      </c>
      <c r="BP74" s="10">
        <v>770000</v>
      </c>
      <c r="BQ74" s="10">
        <v>5</v>
      </c>
      <c r="BR74" s="10">
        <v>20</v>
      </c>
      <c r="BS74" s="10">
        <v>100000006</v>
      </c>
      <c r="BT74" s="10" t="s">
        <v>141</v>
      </c>
    </row>
    <row r="75" spans="1:72" s="10" customFormat="1" x14ac:dyDescent="0.25">
      <c r="A75" s="9">
        <v>45839</v>
      </c>
      <c r="B75" s="10" t="s">
        <v>95</v>
      </c>
      <c r="C75" s="10">
        <v>12</v>
      </c>
      <c r="D75" s="10">
        <v>100000001</v>
      </c>
      <c r="E75" s="10">
        <v>6</v>
      </c>
      <c r="F75" s="10">
        <v>6</v>
      </c>
      <c r="G75" s="10" t="s">
        <v>96</v>
      </c>
      <c r="H75" s="10" t="s">
        <v>124</v>
      </c>
      <c r="I75" s="10">
        <v>15</v>
      </c>
      <c r="J75" s="10">
        <v>163186</v>
      </c>
      <c r="K75" s="10">
        <v>132453145</v>
      </c>
      <c r="L75" s="10" t="s">
        <v>98</v>
      </c>
      <c r="M75" s="10">
        <v>1</v>
      </c>
      <c r="N75" s="11" t="s">
        <v>99</v>
      </c>
      <c r="O75" s="10">
        <v>1</v>
      </c>
      <c r="P75" s="10">
        <v>2</v>
      </c>
      <c r="Q75" s="10">
        <v>5</v>
      </c>
      <c r="R75" s="10">
        <v>0</v>
      </c>
      <c r="S75" s="10">
        <v>5</v>
      </c>
      <c r="T75" s="10" t="s">
        <v>100</v>
      </c>
      <c r="U75" s="10" t="s">
        <v>101</v>
      </c>
      <c r="V75" s="10">
        <v>52252344</v>
      </c>
      <c r="W75" s="10" t="str">
        <f t="shared" si="11"/>
        <v>Security 74</v>
      </c>
      <c r="X75" s="10" t="s">
        <v>106</v>
      </c>
      <c r="Y75" s="10" t="s">
        <v>107</v>
      </c>
      <c r="Z75" s="10" t="s">
        <v>96</v>
      </c>
      <c r="AA75" s="10" t="s">
        <v>107</v>
      </c>
      <c r="AB75" s="10" t="s">
        <v>107</v>
      </c>
      <c r="AC75" s="10" t="s">
        <v>107</v>
      </c>
      <c r="AD75" s="10" t="s">
        <v>96</v>
      </c>
      <c r="AE75" s="10" t="s">
        <v>96</v>
      </c>
      <c r="AF75" s="10" t="s">
        <v>108</v>
      </c>
      <c r="AG75" s="10" t="b">
        <v>0</v>
      </c>
      <c r="AH75" s="10" t="s">
        <v>96</v>
      </c>
      <c r="AI75" s="10" t="s">
        <v>107</v>
      </c>
      <c r="AJ75" s="10" t="s">
        <v>109</v>
      </c>
      <c r="AL75" s="10">
        <v>1</v>
      </c>
      <c r="AM75" s="10">
        <v>0.25</v>
      </c>
      <c r="AN75" s="10" t="s">
        <v>111</v>
      </c>
      <c r="AO75" s="10" t="s">
        <v>112</v>
      </c>
      <c r="AP75" s="10" t="s">
        <v>113</v>
      </c>
      <c r="AQ75" s="9">
        <v>46204</v>
      </c>
      <c r="AR75" s="9">
        <v>46204</v>
      </c>
      <c r="AS75" s="10" t="s">
        <v>115</v>
      </c>
      <c r="AT75" s="10" t="s">
        <v>115</v>
      </c>
      <c r="AU75" s="10" t="s">
        <v>115</v>
      </c>
      <c r="AW75" s="10" t="s">
        <v>115</v>
      </c>
      <c r="AX75" s="10" t="s">
        <v>115</v>
      </c>
      <c r="AY75" s="10" t="s">
        <v>117</v>
      </c>
      <c r="AZ75" s="10">
        <v>5</v>
      </c>
      <c r="BA75" s="10">
        <v>20</v>
      </c>
      <c r="BB75" s="10">
        <v>20</v>
      </c>
      <c r="BC75" s="10">
        <v>5</v>
      </c>
      <c r="BD75" s="10">
        <v>5</v>
      </c>
      <c r="BE75" s="10">
        <v>5</v>
      </c>
      <c r="BF75" s="10">
        <v>1</v>
      </c>
      <c r="BG75" s="10" t="s">
        <v>118</v>
      </c>
      <c r="BH75" s="10" t="s">
        <v>119</v>
      </c>
      <c r="BI75" s="10" t="b">
        <v>1</v>
      </c>
      <c r="BJ75" s="10">
        <v>1</v>
      </c>
      <c r="BK75" s="10">
        <v>1</v>
      </c>
      <c r="BL75" s="10" t="s">
        <v>115</v>
      </c>
      <c r="BN75" s="10">
        <v>10000</v>
      </c>
      <c r="BO75" s="10">
        <v>0</v>
      </c>
      <c r="BP75" s="10">
        <v>4082800</v>
      </c>
      <c r="BQ75" s="10">
        <v>5</v>
      </c>
      <c r="BR75" s="10">
        <v>20</v>
      </c>
      <c r="BS75" s="10">
        <v>100000006</v>
      </c>
      <c r="BT75" s="10" t="s">
        <v>141</v>
      </c>
    </row>
    <row r="76" spans="1:72" s="10" customFormat="1" x14ac:dyDescent="0.25">
      <c r="A76" s="9">
        <v>45839</v>
      </c>
      <c r="B76" s="10" t="s">
        <v>95</v>
      </c>
      <c r="C76" s="10">
        <v>12</v>
      </c>
      <c r="D76" s="10">
        <v>100000001</v>
      </c>
      <c r="E76" s="10">
        <v>6</v>
      </c>
      <c r="F76" s="10">
        <v>6</v>
      </c>
      <c r="G76" s="10" t="s">
        <v>96</v>
      </c>
      <c r="H76" s="10" t="s">
        <v>124</v>
      </c>
      <c r="I76" s="10">
        <v>1</v>
      </c>
      <c r="J76" s="10">
        <v>163186</v>
      </c>
      <c r="K76" s="10">
        <v>13467453</v>
      </c>
      <c r="L76" s="10" t="s">
        <v>98</v>
      </c>
      <c r="M76" s="10">
        <v>1</v>
      </c>
      <c r="N76" s="11" t="s">
        <v>99</v>
      </c>
      <c r="O76" s="10">
        <v>1</v>
      </c>
      <c r="P76" s="10">
        <v>2</v>
      </c>
      <c r="Q76" s="10">
        <v>5</v>
      </c>
      <c r="R76" s="10">
        <v>0</v>
      </c>
      <c r="S76" s="10">
        <v>5</v>
      </c>
      <c r="T76" s="10" t="s">
        <v>100</v>
      </c>
      <c r="U76" s="10" t="s">
        <v>101</v>
      </c>
      <c r="V76" s="10">
        <v>24352523</v>
      </c>
      <c r="W76" s="10" t="str">
        <f t="shared" si="11"/>
        <v>Security 75</v>
      </c>
      <c r="X76" s="10" t="s">
        <v>106</v>
      </c>
      <c r="Y76" s="10" t="s">
        <v>107</v>
      </c>
      <c r="Z76" s="10" t="s">
        <v>96</v>
      </c>
      <c r="AA76" s="10" t="s">
        <v>107</v>
      </c>
      <c r="AB76" s="10" t="s">
        <v>107</v>
      </c>
      <c r="AC76" s="10" t="s">
        <v>107</v>
      </c>
      <c r="AD76" s="10" t="s">
        <v>96</v>
      </c>
      <c r="AE76" s="10" t="s">
        <v>96</v>
      </c>
      <c r="AF76" s="10" t="s">
        <v>108</v>
      </c>
      <c r="AG76" s="10" t="b">
        <v>0</v>
      </c>
      <c r="AH76" s="10" t="s">
        <v>96</v>
      </c>
      <c r="AI76" s="10" t="s">
        <v>107</v>
      </c>
      <c r="AJ76" s="10" t="s">
        <v>109</v>
      </c>
      <c r="AL76" s="10">
        <v>1</v>
      </c>
      <c r="AM76" s="10">
        <v>0.25</v>
      </c>
      <c r="AN76" s="10" t="s">
        <v>111</v>
      </c>
      <c r="AO76" s="10" t="s">
        <v>112</v>
      </c>
      <c r="AP76" s="10" t="s">
        <v>113</v>
      </c>
      <c r="AQ76" s="9">
        <v>46204</v>
      </c>
      <c r="AR76" s="9">
        <v>46204</v>
      </c>
      <c r="AS76" s="10" t="s">
        <v>115</v>
      </c>
      <c r="AT76" s="10" t="s">
        <v>115</v>
      </c>
      <c r="AU76" s="10" t="s">
        <v>115</v>
      </c>
      <c r="AV76" s="10" t="s">
        <v>115</v>
      </c>
      <c r="AW76" s="10" t="s">
        <v>115</v>
      </c>
      <c r="AX76" s="10" t="s">
        <v>115</v>
      </c>
      <c r="AY76" s="10" t="s">
        <v>117</v>
      </c>
      <c r="AZ76" s="10">
        <v>5</v>
      </c>
      <c r="BA76" s="10">
        <v>20</v>
      </c>
      <c r="BB76" s="10">
        <v>20</v>
      </c>
      <c r="BC76" s="10">
        <v>5</v>
      </c>
      <c r="BD76" s="10">
        <v>5</v>
      </c>
      <c r="BE76" s="10">
        <v>5</v>
      </c>
      <c r="BF76" s="10">
        <v>1</v>
      </c>
      <c r="BG76" s="10" t="s">
        <v>118</v>
      </c>
      <c r="BH76" s="10" t="s">
        <v>119</v>
      </c>
      <c r="BI76" s="10" t="b">
        <v>1</v>
      </c>
      <c r="BJ76" s="10">
        <v>1</v>
      </c>
      <c r="BK76" s="10">
        <v>1</v>
      </c>
      <c r="BL76" s="10" t="s">
        <v>115</v>
      </c>
      <c r="BM76" s="10" t="s">
        <v>115</v>
      </c>
      <c r="BN76" s="10">
        <v>10000</v>
      </c>
      <c r="BO76" s="10">
        <v>0</v>
      </c>
      <c r="BP76" s="10">
        <v>1777799</v>
      </c>
      <c r="BQ76" s="10">
        <v>5</v>
      </c>
      <c r="BR76" s="10">
        <v>20</v>
      </c>
      <c r="BS76" s="10">
        <v>100000006</v>
      </c>
      <c r="BT76" s="10" t="s">
        <v>141</v>
      </c>
    </row>
    <row r="77" spans="1:72" x14ac:dyDescent="0.25">
      <c r="A77" s="5">
        <v>45839</v>
      </c>
      <c r="B77" t="s">
        <v>95</v>
      </c>
      <c r="C77">
        <v>12</v>
      </c>
      <c r="D77">
        <v>100000001</v>
      </c>
      <c r="E77">
        <v>7</v>
      </c>
      <c r="F77">
        <v>7</v>
      </c>
      <c r="G77" t="s">
        <v>96</v>
      </c>
      <c r="H77" t="s">
        <v>124</v>
      </c>
      <c r="I77">
        <v>1</v>
      </c>
      <c r="J77">
        <v>163186</v>
      </c>
      <c r="K77">
        <v>84579230</v>
      </c>
      <c r="L77" t="s">
        <v>98</v>
      </c>
      <c r="M77">
        <v>1</v>
      </c>
      <c r="N77" s="3" t="s">
        <v>99</v>
      </c>
      <c r="O77">
        <v>1</v>
      </c>
      <c r="P77">
        <v>2</v>
      </c>
      <c r="Q77">
        <v>40</v>
      </c>
      <c r="R77">
        <v>20</v>
      </c>
      <c r="S77">
        <v>40</v>
      </c>
      <c r="T77" t="s">
        <v>135</v>
      </c>
      <c r="U77" t="s">
        <v>101</v>
      </c>
      <c r="V77">
        <v>129344312</v>
      </c>
      <c r="W77" t="str">
        <f t="shared" si="11"/>
        <v>Security 76</v>
      </c>
      <c r="X77" t="s">
        <v>106</v>
      </c>
      <c r="Y77" t="s">
        <v>107</v>
      </c>
      <c r="Z77" t="s">
        <v>107</v>
      </c>
      <c r="AA77" t="s">
        <v>96</v>
      </c>
      <c r="AB77" t="s">
        <v>107</v>
      </c>
      <c r="AC77" t="s">
        <v>107</v>
      </c>
      <c r="AD77" t="s">
        <v>96</v>
      </c>
      <c r="AE77" t="s">
        <v>107</v>
      </c>
      <c r="AF77" t="s">
        <v>108</v>
      </c>
      <c r="AG77" t="b">
        <v>0</v>
      </c>
      <c r="AH77" s="8" t="s">
        <v>96</v>
      </c>
      <c r="AI77" t="s">
        <v>107</v>
      </c>
      <c r="AJ77" t="s">
        <v>109</v>
      </c>
      <c r="AL77">
        <v>1</v>
      </c>
      <c r="AM77">
        <v>0.25</v>
      </c>
      <c r="AN77" t="s">
        <v>111</v>
      </c>
      <c r="AO77" t="s">
        <v>143</v>
      </c>
      <c r="AP77" t="s">
        <v>113</v>
      </c>
      <c r="AQ77" s="5">
        <v>46139</v>
      </c>
      <c r="AR77" s="5">
        <v>46139</v>
      </c>
      <c r="AS77" t="s">
        <v>115</v>
      </c>
      <c r="AT77" t="s">
        <v>115</v>
      </c>
      <c r="AU77" t="s">
        <v>115</v>
      </c>
      <c r="AV77" t="s">
        <v>115</v>
      </c>
      <c r="AW77" t="s">
        <v>115</v>
      </c>
      <c r="AX77" t="s">
        <v>115</v>
      </c>
      <c r="AY77" t="s">
        <v>116</v>
      </c>
      <c r="AZ77">
        <v>40</v>
      </c>
      <c r="BA77">
        <v>20</v>
      </c>
      <c r="BB77">
        <v>20</v>
      </c>
      <c r="BC77">
        <v>5</v>
      </c>
      <c r="BD77">
        <v>5</v>
      </c>
      <c r="BE77">
        <v>40</v>
      </c>
      <c r="BF77">
        <v>1</v>
      </c>
      <c r="BG77" t="s">
        <v>118</v>
      </c>
      <c r="BH77" t="s">
        <v>134</v>
      </c>
      <c r="BI77" t="b">
        <v>1</v>
      </c>
      <c r="BJ77">
        <v>0</v>
      </c>
      <c r="BK77">
        <v>1</v>
      </c>
      <c r="BL77" t="s">
        <v>115</v>
      </c>
      <c r="BM77" t="s">
        <v>115</v>
      </c>
      <c r="BN77">
        <v>231442</v>
      </c>
      <c r="BO77">
        <v>128352840</v>
      </c>
      <c r="BP77">
        <v>176393615</v>
      </c>
      <c r="BQ77">
        <v>5</v>
      </c>
      <c r="BR77">
        <v>40</v>
      </c>
      <c r="BS77">
        <v>100000007</v>
      </c>
      <c r="BT77" t="s">
        <v>146</v>
      </c>
    </row>
    <row r="78" spans="1:72" x14ac:dyDescent="0.25">
      <c r="A78" s="5">
        <v>45839</v>
      </c>
      <c r="B78" t="s">
        <v>95</v>
      </c>
      <c r="C78">
        <v>12</v>
      </c>
      <c r="D78">
        <v>100000001</v>
      </c>
      <c r="E78">
        <v>7</v>
      </c>
      <c r="F78">
        <v>7</v>
      </c>
      <c r="G78" t="s">
        <v>96</v>
      </c>
      <c r="H78" t="s">
        <v>124</v>
      </c>
      <c r="I78">
        <v>1</v>
      </c>
      <c r="J78">
        <v>163186</v>
      </c>
      <c r="K78">
        <v>90463182</v>
      </c>
      <c r="L78" t="s">
        <v>98</v>
      </c>
      <c r="M78">
        <v>1</v>
      </c>
      <c r="N78" s="3" t="s">
        <v>99</v>
      </c>
      <c r="O78">
        <v>1</v>
      </c>
      <c r="P78">
        <v>2</v>
      </c>
      <c r="Q78">
        <v>5</v>
      </c>
      <c r="R78">
        <v>0</v>
      </c>
      <c r="S78">
        <v>5</v>
      </c>
      <c r="T78" t="s">
        <v>100</v>
      </c>
      <c r="U78" t="s">
        <v>101</v>
      </c>
      <c r="V78" t="s">
        <v>142</v>
      </c>
      <c r="W78" t="s">
        <v>145</v>
      </c>
      <c r="X78" t="s">
        <v>106</v>
      </c>
      <c r="Y78" t="s">
        <v>107</v>
      </c>
      <c r="Z78" t="s">
        <v>107</v>
      </c>
      <c r="AA78" t="s">
        <v>107</v>
      </c>
      <c r="AB78" t="s">
        <v>107</v>
      </c>
      <c r="AC78" t="s">
        <v>107</v>
      </c>
      <c r="AD78" t="s">
        <v>96</v>
      </c>
      <c r="AE78" t="s">
        <v>107</v>
      </c>
      <c r="AF78" t="s">
        <v>108</v>
      </c>
      <c r="AG78" t="b">
        <v>0</v>
      </c>
      <c r="AH78" t="s">
        <v>96</v>
      </c>
      <c r="AI78" t="s">
        <v>107</v>
      </c>
      <c r="AJ78" t="s">
        <v>109</v>
      </c>
      <c r="AL78">
        <v>1</v>
      </c>
      <c r="AM78">
        <v>0</v>
      </c>
      <c r="AN78" t="s">
        <v>111</v>
      </c>
      <c r="AO78" t="s">
        <v>144</v>
      </c>
      <c r="AP78" t="s">
        <v>113</v>
      </c>
      <c r="AQ78" s="5">
        <v>1</v>
      </c>
      <c r="AS78" t="s">
        <v>115</v>
      </c>
      <c r="AT78" t="s">
        <v>115</v>
      </c>
      <c r="AU78" t="s">
        <v>115</v>
      </c>
      <c r="AV78" t="s">
        <v>115</v>
      </c>
      <c r="AW78" t="s">
        <v>115</v>
      </c>
      <c r="AX78" t="s">
        <v>115</v>
      </c>
      <c r="AY78" t="s">
        <v>117</v>
      </c>
      <c r="AZ78">
        <v>20</v>
      </c>
      <c r="BA78">
        <v>20</v>
      </c>
      <c r="BB78">
        <v>20</v>
      </c>
      <c r="BC78">
        <v>5</v>
      </c>
      <c r="BD78">
        <v>5</v>
      </c>
      <c r="BE78">
        <v>20</v>
      </c>
      <c r="BF78">
        <v>1</v>
      </c>
      <c r="BG78" t="s">
        <v>118</v>
      </c>
      <c r="BH78" t="s">
        <v>134</v>
      </c>
      <c r="BI78" t="b">
        <v>1</v>
      </c>
      <c r="BJ78">
        <v>1</v>
      </c>
      <c r="BK78">
        <v>1</v>
      </c>
      <c r="BL78" t="s">
        <v>115</v>
      </c>
      <c r="BM78" t="s">
        <v>115</v>
      </c>
      <c r="BN78">
        <v>0</v>
      </c>
      <c r="BO78">
        <v>18106700000</v>
      </c>
      <c r="BP78">
        <v>0</v>
      </c>
      <c r="BQ78">
        <v>5</v>
      </c>
      <c r="BR78">
        <v>20</v>
      </c>
      <c r="BS78">
        <v>100000007</v>
      </c>
      <c r="BT78" t="s">
        <v>146</v>
      </c>
    </row>
    <row r="79" spans="1:72" s="10" customFormat="1" x14ac:dyDescent="0.25">
      <c r="A79" s="9">
        <v>45839</v>
      </c>
      <c r="B79" s="10" t="s">
        <v>95</v>
      </c>
      <c r="C79" s="10">
        <v>12</v>
      </c>
      <c r="D79" s="10">
        <v>100000001</v>
      </c>
      <c r="E79" s="10">
        <v>8</v>
      </c>
      <c r="F79" s="10">
        <v>8</v>
      </c>
      <c r="G79" s="10" t="s">
        <v>96</v>
      </c>
      <c r="H79" s="10" t="s">
        <v>124</v>
      </c>
      <c r="I79" s="10">
        <v>1</v>
      </c>
      <c r="J79" s="10">
        <v>163186</v>
      </c>
      <c r="K79" s="10">
        <v>13475315</v>
      </c>
      <c r="L79" s="10" t="s">
        <v>98</v>
      </c>
      <c r="M79" s="10">
        <v>1</v>
      </c>
      <c r="N79" s="11" t="s">
        <v>99</v>
      </c>
      <c r="O79" s="10">
        <v>1</v>
      </c>
      <c r="P79" s="10">
        <v>2</v>
      </c>
      <c r="Q79" s="10">
        <v>0</v>
      </c>
      <c r="R79" s="10">
        <v>0</v>
      </c>
      <c r="S79" s="10">
        <v>0</v>
      </c>
      <c r="U79" s="10" t="s">
        <v>101</v>
      </c>
      <c r="V79" s="10">
        <v>238942341</v>
      </c>
      <c r="W79" s="10" t="str">
        <f t="shared" si="11"/>
        <v>Security 78</v>
      </c>
      <c r="X79" s="10" t="s">
        <v>106</v>
      </c>
      <c r="Y79" s="10" t="s">
        <v>96</v>
      </c>
      <c r="Z79" s="10" t="s">
        <v>96</v>
      </c>
      <c r="AA79" s="10" t="s">
        <v>107</v>
      </c>
      <c r="AB79" s="10" t="s">
        <v>107</v>
      </c>
      <c r="AC79" s="10" t="s">
        <v>107</v>
      </c>
      <c r="AD79" s="10" t="s">
        <v>96</v>
      </c>
      <c r="AE79" s="10" t="s">
        <v>96</v>
      </c>
      <c r="AF79" s="10" t="s">
        <v>108</v>
      </c>
      <c r="AG79" s="10" t="b">
        <v>0</v>
      </c>
      <c r="AH79" s="10" t="s">
        <v>96</v>
      </c>
      <c r="AI79" s="10" t="s">
        <v>107</v>
      </c>
      <c r="AJ79" s="10" t="s">
        <v>109</v>
      </c>
      <c r="AL79" s="10">
        <v>1</v>
      </c>
      <c r="AM79" s="10">
        <v>0.25</v>
      </c>
      <c r="AN79" s="10" t="s">
        <v>111</v>
      </c>
      <c r="AO79" s="10" t="s">
        <v>112</v>
      </c>
      <c r="AP79" s="10" t="s">
        <v>113</v>
      </c>
      <c r="AQ79" s="9">
        <v>46204</v>
      </c>
      <c r="AR79" s="9">
        <v>46204</v>
      </c>
      <c r="AS79" s="10" t="s">
        <v>115</v>
      </c>
      <c r="AT79" s="10" t="s">
        <v>115</v>
      </c>
      <c r="AU79" s="10" t="s">
        <v>115</v>
      </c>
      <c r="AV79" s="10" t="s">
        <v>115</v>
      </c>
      <c r="AW79" s="10" t="s">
        <v>115</v>
      </c>
      <c r="AX79" s="10" t="s">
        <v>115</v>
      </c>
      <c r="AY79" s="10" t="s">
        <v>116</v>
      </c>
      <c r="AZ79" s="10">
        <v>5</v>
      </c>
      <c r="BA79" s="10">
        <v>20</v>
      </c>
      <c r="BB79" s="10">
        <v>20</v>
      </c>
      <c r="BC79" s="10">
        <v>5</v>
      </c>
      <c r="BD79" s="10">
        <v>5</v>
      </c>
      <c r="BE79" s="10">
        <v>5</v>
      </c>
      <c r="BF79" s="10">
        <v>1</v>
      </c>
      <c r="BG79" s="10" t="s">
        <v>118</v>
      </c>
      <c r="BH79" s="10" t="s">
        <v>119</v>
      </c>
      <c r="BI79" s="10" t="b">
        <v>1</v>
      </c>
      <c r="BJ79" s="10">
        <v>0</v>
      </c>
      <c r="BK79" s="10">
        <v>0</v>
      </c>
      <c r="BL79" s="10" t="s">
        <v>115</v>
      </c>
      <c r="BM79" s="10" t="s">
        <v>115</v>
      </c>
      <c r="BN79" s="10">
        <v>20000</v>
      </c>
      <c r="BO79" s="10">
        <v>145842900</v>
      </c>
      <c r="BQ79" s="10">
        <v>0</v>
      </c>
      <c r="BR79" s="10">
        <v>0</v>
      </c>
      <c r="BS79" s="10">
        <v>100000008</v>
      </c>
      <c r="BT79" s="10" t="s">
        <v>148</v>
      </c>
    </row>
    <row r="80" spans="1:72" s="10" customFormat="1" x14ac:dyDescent="0.25">
      <c r="A80" s="9">
        <v>45839</v>
      </c>
      <c r="B80" s="10" t="s">
        <v>95</v>
      </c>
      <c r="C80" s="10">
        <v>12</v>
      </c>
      <c r="D80" s="10">
        <v>100000001</v>
      </c>
      <c r="E80" s="10">
        <v>8</v>
      </c>
      <c r="F80" s="10">
        <v>8</v>
      </c>
      <c r="G80" s="10" t="s">
        <v>96</v>
      </c>
      <c r="H80" s="10" t="s">
        <v>124</v>
      </c>
      <c r="I80" s="10">
        <v>1</v>
      </c>
      <c r="J80" s="10">
        <v>163186</v>
      </c>
      <c r="K80" s="10">
        <v>346135426</v>
      </c>
      <c r="L80" s="10" t="s">
        <v>98</v>
      </c>
      <c r="M80" s="10">
        <v>1</v>
      </c>
      <c r="N80" s="11" t="s">
        <v>99</v>
      </c>
      <c r="O80" s="10">
        <v>1</v>
      </c>
      <c r="P80" s="10">
        <v>2</v>
      </c>
      <c r="Q80" s="10">
        <v>5</v>
      </c>
      <c r="R80" s="10">
        <v>0</v>
      </c>
      <c r="S80" s="10">
        <v>5</v>
      </c>
      <c r="T80" s="10" t="s">
        <v>100</v>
      </c>
      <c r="U80" s="10" t="s">
        <v>101</v>
      </c>
      <c r="V80" s="10">
        <v>4326234625</v>
      </c>
      <c r="W80" s="10" t="str">
        <f t="shared" si="11"/>
        <v>Security 79</v>
      </c>
      <c r="X80" s="10" t="s">
        <v>106</v>
      </c>
      <c r="Y80" s="10" t="s">
        <v>107</v>
      </c>
      <c r="Z80" s="10" t="s">
        <v>96</v>
      </c>
      <c r="AA80" s="10" t="s">
        <v>107</v>
      </c>
      <c r="AB80" s="10" t="s">
        <v>107</v>
      </c>
      <c r="AC80" s="10" t="s">
        <v>107</v>
      </c>
      <c r="AD80" s="10" t="s">
        <v>96</v>
      </c>
      <c r="AE80" s="10" t="s">
        <v>96</v>
      </c>
      <c r="AF80" s="10" t="s">
        <v>108</v>
      </c>
      <c r="AG80" s="10" t="b">
        <v>0</v>
      </c>
      <c r="AH80" s="10" t="s">
        <v>96</v>
      </c>
      <c r="AI80" s="10" t="s">
        <v>107</v>
      </c>
      <c r="AJ80" s="10" t="s">
        <v>109</v>
      </c>
      <c r="AL80" s="10">
        <v>1</v>
      </c>
      <c r="AM80" s="10">
        <v>0.25</v>
      </c>
      <c r="AN80" s="10" t="s">
        <v>111</v>
      </c>
      <c r="AO80" s="10" t="s">
        <v>112</v>
      </c>
      <c r="AP80" s="10" t="s">
        <v>113</v>
      </c>
      <c r="AQ80" s="9">
        <v>46204</v>
      </c>
      <c r="AR80" s="9">
        <v>46204</v>
      </c>
      <c r="AS80" s="10" t="s">
        <v>115</v>
      </c>
      <c r="AT80" s="10" t="s">
        <v>115</v>
      </c>
      <c r="AU80" s="10" t="s">
        <v>115</v>
      </c>
      <c r="AV80" s="10" t="s">
        <v>115</v>
      </c>
      <c r="AW80" s="10" t="s">
        <v>115</v>
      </c>
      <c r="AX80" s="10" t="s">
        <v>115</v>
      </c>
      <c r="AY80" s="10" t="s">
        <v>116</v>
      </c>
      <c r="AZ80" s="10">
        <v>5</v>
      </c>
      <c r="BA80" s="10">
        <v>20</v>
      </c>
      <c r="BB80" s="10">
        <v>20</v>
      </c>
      <c r="BC80" s="10">
        <v>5</v>
      </c>
      <c r="BD80" s="10">
        <v>5</v>
      </c>
      <c r="BE80" s="10">
        <v>5</v>
      </c>
      <c r="BF80" s="10">
        <v>1</v>
      </c>
      <c r="BG80" s="10" t="s">
        <v>118</v>
      </c>
      <c r="BH80" s="10" t="s">
        <v>119</v>
      </c>
      <c r="BI80" s="10" t="b">
        <v>1</v>
      </c>
      <c r="BJ80" s="10">
        <v>1</v>
      </c>
      <c r="BK80" s="10">
        <v>1</v>
      </c>
      <c r="BL80" s="10" t="s">
        <v>115</v>
      </c>
      <c r="BM80" s="10" t="s">
        <v>115</v>
      </c>
      <c r="BN80" s="10">
        <v>12341</v>
      </c>
      <c r="BP80" s="10">
        <v>114193356</v>
      </c>
      <c r="BQ80" s="10">
        <v>5</v>
      </c>
      <c r="BR80" s="10">
        <v>20</v>
      </c>
      <c r="BS80" s="10">
        <v>100000008</v>
      </c>
      <c r="BT80" s="10" t="s">
        <v>148</v>
      </c>
    </row>
    <row r="81" spans="1:72" s="10" customFormat="1" x14ac:dyDescent="0.25">
      <c r="A81" s="9">
        <v>45839</v>
      </c>
      <c r="B81" s="10" t="s">
        <v>95</v>
      </c>
      <c r="C81" s="10">
        <v>12</v>
      </c>
      <c r="D81" s="10">
        <v>100000001</v>
      </c>
      <c r="E81" s="10">
        <v>8</v>
      </c>
      <c r="F81" s="10">
        <v>8</v>
      </c>
      <c r="G81" s="10" t="s">
        <v>96</v>
      </c>
      <c r="H81" s="10" t="s">
        <v>124</v>
      </c>
      <c r="I81" s="10">
        <v>1</v>
      </c>
      <c r="J81" s="10">
        <v>163186</v>
      </c>
      <c r="K81" s="10">
        <v>1346135</v>
      </c>
      <c r="L81" s="10" t="s">
        <v>98</v>
      </c>
      <c r="M81" s="10">
        <v>1</v>
      </c>
      <c r="N81" s="11" t="s">
        <v>99</v>
      </c>
      <c r="O81" s="10">
        <v>1</v>
      </c>
      <c r="P81" s="10">
        <v>2</v>
      </c>
      <c r="Q81" s="10">
        <v>5</v>
      </c>
      <c r="R81" s="10">
        <v>0</v>
      </c>
      <c r="S81" s="10">
        <v>5</v>
      </c>
      <c r="T81" s="10" t="s">
        <v>100</v>
      </c>
      <c r="U81" s="10" t="s">
        <v>101</v>
      </c>
      <c r="V81" s="10">
        <v>325412343</v>
      </c>
      <c r="W81" s="10" t="str">
        <f t="shared" si="11"/>
        <v>Security 80</v>
      </c>
      <c r="X81" s="10" t="s">
        <v>106</v>
      </c>
      <c r="Y81" s="10" t="s">
        <v>107</v>
      </c>
      <c r="Z81" s="10" t="s">
        <v>96</v>
      </c>
      <c r="AA81" s="10" t="s">
        <v>107</v>
      </c>
      <c r="AB81" s="10" t="s">
        <v>107</v>
      </c>
      <c r="AC81" s="10" t="s">
        <v>107</v>
      </c>
      <c r="AD81" s="10" t="s">
        <v>96</v>
      </c>
      <c r="AE81" s="10" t="s">
        <v>96</v>
      </c>
      <c r="AF81" s="10" t="s">
        <v>108</v>
      </c>
      <c r="AG81" s="10" t="b">
        <v>0</v>
      </c>
      <c r="AH81" s="10" t="s">
        <v>96</v>
      </c>
      <c r="AI81" s="10" t="s">
        <v>107</v>
      </c>
      <c r="AJ81" s="10" t="s">
        <v>109</v>
      </c>
      <c r="AL81" s="10">
        <v>1</v>
      </c>
      <c r="AM81" s="10">
        <v>0.15</v>
      </c>
      <c r="AN81" s="10" t="s">
        <v>111</v>
      </c>
      <c r="AO81" s="10" t="s">
        <v>112</v>
      </c>
      <c r="AP81" s="10" t="s">
        <v>113</v>
      </c>
      <c r="AQ81" s="9">
        <v>46204</v>
      </c>
      <c r="AR81" s="9">
        <v>46204</v>
      </c>
      <c r="AS81" s="10" t="s">
        <v>115</v>
      </c>
      <c r="AT81" s="10" t="s">
        <v>115</v>
      </c>
      <c r="AU81" s="10" t="s">
        <v>115</v>
      </c>
      <c r="AV81" s="10" t="s">
        <v>115</v>
      </c>
      <c r="AW81" s="10" t="s">
        <v>115</v>
      </c>
      <c r="AX81" s="10" t="s">
        <v>115</v>
      </c>
      <c r="AY81" s="10" t="s">
        <v>117</v>
      </c>
      <c r="AZ81" s="10">
        <v>5</v>
      </c>
      <c r="BA81" s="10">
        <v>20</v>
      </c>
      <c r="BB81" s="10">
        <v>20</v>
      </c>
      <c r="BC81" s="10">
        <v>5</v>
      </c>
      <c r="BD81" s="10">
        <v>5</v>
      </c>
      <c r="BE81" s="10">
        <v>5</v>
      </c>
      <c r="BF81" s="10">
        <v>1</v>
      </c>
      <c r="BG81" s="10" t="s">
        <v>118</v>
      </c>
      <c r="BH81" s="10" t="s">
        <v>119</v>
      </c>
      <c r="BI81" s="10" t="b">
        <v>1</v>
      </c>
      <c r="BJ81" s="10">
        <v>1</v>
      </c>
      <c r="BK81" s="10">
        <v>1</v>
      </c>
      <c r="BL81" s="10" t="s">
        <v>115</v>
      </c>
      <c r="BM81" s="10" t="s">
        <v>115</v>
      </c>
      <c r="BN81" s="10">
        <v>10000</v>
      </c>
      <c r="BP81" s="10">
        <v>1401969</v>
      </c>
      <c r="BQ81" s="10">
        <v>5</v>
      </c>
      <c r="BR81" s="10">
        <v>20</v>
      </c>
      <c r="BS81" s="10">
        <v>100000008</v>
      </c>
      <c r="BT81" s="10" t="s">
        <v>148</v>
      </c>
    </row>
    <row r="82" spans="1:72" x14ac:dyDescent="0.25">
      <c r="A82" s="5">
        <v>45839</v>
      </c>
      <c r="B82" t="s">
        <v>95</v>
      </c>
      <c r="C82">
        <v>12</v>
      </c>
      <c r="D82">
        <v>100000001</v>
      </c>
      <c r="E82">
        <v>8</v>
      </c>
      <c r="F82">
        <v>8</v>
      </c>
      <c r="G82" t="s">
        <v>96</v>
      </c>
      <c r="H82" t="s">
        <v>124</v>
      </c>
      <c r="I82">
        <v>1</v>
      </c>
      <c r="J82">
        <v>163186</v>
      </c>
      <c r="K82">
        <v>43021897</v>
      </c>
      <c r="L82" t="s">
        <v>98</v>
      </c>
      <c r="M82">
        <v>1</v>
      </c>
      <c r="N82" s="3" t="s">
        <v>99</v>
      </c>
      <c r="O82">
        <v>1</v>
      </c>
      <c r="P82">
        <v>2</v>
      </c>
      <c r="Q82">
        <v>5</v>
      </c>
      <c r="R82">
        <v>0</v>
      </c>
      <c r="S82">
        <v>20</v>
      </c>
      <c r="T82" t="s">
        <v>100</v>
      </c>
      <c r="U82" t="s">
        <v>101</v>
      </c>
      <c r="V82" t="s">
        <v>147</v>
      </c>
      <c r="W82" t="str">
        <f t="shared" si="11"/>
        <v>Security 81</v>
      </c>
      <c r="X82" t="s">
        <v>106</v>
      </c>
      <c r="Y82" t="s">
        <v>107</v>
      </c>
      <c r="Z82" t="s">
        <v>96</v>
      </c>
      <c r="AA82" t="s">
        <v>96</v>
      </c>
      <c r="AB82" t="s">
        <v>107</v>
      </c>
      <c r="AC82" t="s">
        <v>107</v>
      </c>
      <c r="AD82" t="s">
        <v>96</v>
      </c>
      <c r="AE82" t="s">
        <v>96</v>
      </c>
      <c r="AF82" t="s">
        <v>108</v>
      </c>
      <c r="AG82" t="b">
        <v>0</v>
      </c>
      <c r="AH82" t="s">
        <v>96</v>
      </c>
      <c r="AI82" t="s">
        <v>107</v>
      </c>
      <c r="AJ82" t="s">
        <v>109</v>
      </c>
      <c r="AL82">
        <v>1</v>
      </c>
      <c r="AM82">
        <v>0.25</v>
      </c>
      <c r="AN82" t="s">
        <v>111</v>
      </c>
      <c r="AO82" t="s">
        <v>112</v>
      </c>
      <c r="AP82" t="s">
        <v>113</v>
      </c>
      <c r="AQ82" s="5">
        <v>45841</v>
      </c>
      <c r="AR82" s="5">
        <v>45841</v>
      </c>
      <c r="AS82" t="s">
        <v>115</v>
      </c>
      <c r="AT82" t="s">
        <v>115</v>
      </c>
      <c r="AU82" t="s">
        <v>115</v>
      </c>
      <c r="AV82" t="s">
        <v>115</v>
      </c>
      <c r="AW82" t="s">
        <v>115</v>
      </c>
      <c r="AX82" t="s">
        <v>115</v>
      </c>
      <c r="AY82" t="s">
        <v>116</v>
      </c>
      <c r="AZ82">
        <v>5</v>
      </c>
      <c r="BA82">
        <v>20</v>
      </c>
      <c r="BB82">
        <v>20</v>
      </c>
      <c r="BC82">
        <v>5</v>
      </c>
      <c r="BD82">
        <v>5</v>
      </c>
      <c r="BE82">
        <v>5</v>
      </c>
      <c r="BF82">
        <v>1</v>
      </c>
      <c r="BG82" t="s">
        <v>118</v>
      </c>
      <c r="BH82" t="s">
        <v>119</v>
      </c>
      <c r="BI82" t="b">
        <v>1</v>
      </c>
      <c r="BJ82">
        <v>0</v>
      </c>
      <c r="BK82">
        <v>1</v>
      </c>
      <c r="BL82" t="s">
        <v>115</v>
      </c>
      <c r="BM82" t="s">
        <v>115</v>
      </c>
      <c r="BN82">
        <v>10000</v>
      </c>
      <c r="BP82">
        <v>4680507</v>
      </c>
      <c r="BQ82">
        <v>5</v>
      </c>
      <c r="BR82">
        <v>20</v>
      </c>
      <c r="BS82">
        <v>100000008</v>
      </c>
      <c r="BT82" t="s">
        <v>148</v>
      </c>
    </row>
    <row r="83" spans="1:72" x14ac:dyDescent="0.25">
      <c r="A83" s="5">
        <v>45839</v>
      </c>
      <c r="B83" t="s">
        <v>95</v>
      </c>
      <c r="C83">
        <v>12</v>
      </c>
      <c r="D83">
        <v>100000001</v>
      </c>
      <c r="E83">
        <v>9</v>
      </c>
      <c r="F83">
        <v>9</v>
      </c>
      <c r="G83" t="s">
        <v>96</v>
      </c>
      <c r="H83" t="s">
        <v>124</v>
      </c>
      <c r="I83">
        <v>1</v>
      </c>
      <c r="J83">
        <v>163186</v>
      </c>
      <c r="K83">
        <v>63057423</v>
      </c>
      <c r="L83" t="s">
        <v>98</v>
      </c>
      <c r="M83">
        <v>1</v>
      </c>
      <c r="N83" s="3" t="s">
        <v>99</v>
      </c>
      <c r="O83">
        <v>1</v>
      </c>
      <c r="P83">
        <v>2</v>
      </c>
      <c r="Q83">
        <v>5</v>
      </c>
      <c r="R83">
        <v>0</v>
      </c>
      <c r="S83">
        <v>5</v>
      </c>
      <c r="T83" t="s">
        <v>100</v>
      </c>
      <c r="U83" t="s">
        <v>101</v>
      </c>
      <c r="V83">
        <v>43291048</v>
      </c>
      <c r="W83" t="str">
        <f t="shared" si="11"/>
        <v>Security 82</v>
      </c>
      <c r="X83" t="s">
        <v>106</v>
      </c>
      <c r="Y83" t="s">
        <v>107</v>
      </c>
      <c r="Z83" t="s">
        <v>96</v>
      </c>
      <c r="AA83" t="s">
        <v>107</v>
      </c>
      <c r="AB83" t="s">
        <v>107</v>
      </c>
      <c r="AC83" t="s">
        <v>107</v>
      </c>
      <c r="AD83" t="s">
        <v>96</v>
      </c>
      <c r="AE83" t="s">
        <v>96</v>
      </c>
      <c r="AF83" t="s">
        <v>108</v>
      </c>
      <c r="AG83" t="b">
        <v>0</v>
      </c>
      <c r="AH83" t="s">
        <v>96</v>
      </c>
      <c r="AI83" t="s">
        <v>107</v>
      </c>
      <c r="AJ83" t="s">
        <v>109</v>
      </c>
      <c r="AL83">
        <v>1</v>
      </c>
      <c r="AM83">
        <v>0.15</v>
      </c>
      <c r="AN83" t="s">
        <v>111</v>
      </c>
      <c r="AO83" t="s">
        <v>112</v>
      </c>
      <c r="AP83" t="s">
        <v>113</v>
      </c>
      <c r="AQ83" s="5">
        <v>45841</v>
      </c>
      <c r="AR83" s="5">
        <v>45841</v>
      </c>
      <c r="AS83" t="s">
        <v>115</v>
      </c>
      <c r="AT83" t="s">
        <v>115</v>
      </c>
      <c r="AU83" t="s">
        <v>115</v>
      </c>
      <c r="AV83" t="s">
        <v>115</v>
      </c>
      <c r="AW83" t="s">
        <v>115</v>
      </c>
      <c r="AX83" t="s">
        <v>115</v>
      </c>
      <c r="AY83" t="s">
        <v>116</v>
      </c>
      <c r="AZ83">
        <v>5</v>
      </c>
      <c r="BA83">
        <v>20</v>
      </c>
      <c r="BB83">
        <v>20</v>
      </c>
      <c r="BC83">
        <v>5</v>
      </c>
      <c r="BD83">
        <v>5</v>
      </c>
      <c r="BE83">
        <v>5</v>
      </c>
      <c r="BF83">
        <v>1</v>
      </c>
      <c r="BG83" t="s">
        <v>118</v>
      </c>
      <c r="BH83" t="s">
        <v>119</v>
      </c>
      <c r="BI83" t="b">
        <v>1</v>
      </c>
      <c r="BJ83">
        <v>1</v>
      </c>
      <c r="BK83">
        <v>1</v>
      </c>
      <c r="BL83" t="s">
        <v>115</v>
      </c>
      <c r="BM83" t="s">
        <v>115</v>
      </c>
      <c r="BN83">
        <v>10000</v>
      </c>
      <c r="BO83">
        <v>0</v>
      </c>
      <c r="BP83">
        <v>8329834000</v>
      </c>
      <c r="BQ83">
        <v>5</v>
      </c>
      <c r="BR83">
        <v>20</v>
      </c>
      <c r="BS83">
        <v>100000009</v>
      </c>
      <c r="BT83" t="s">
        <v>149</v>
      </c>
    </row>
    <row r="84" spans="1:72" x14ac:dyDescent="0.25">
      <c r="A84" s="5">
        <v>45839</v>
      </c>
      <c r="B84" t="s">
        <v>95</v>
      </c>
      <c r="C84">
        <v>12</v>
      </c>
      <c r="D84">
        <v>100000001</v>
      </c>
      <c r="E84">
        <v>9</v>
      </c>
      <c r="F84">
        <v>9</v>
      </c>
      <c r="G84" t="s">
        <v>96</v>
      </c>
      <c r="H84" t="s">
        <v>124</v>
      </c>
      <c r="I84">
        <v>15</v>
      </c>
      <c r="J84">
        <v>163186</v>
      </c>
      <c r="K84">
        <v>15842971</v>
      </c>
      <c r="L84" t="s">
        <v>98</v>
      </c>
      <c r="M84">
        <v>1</v>
      </c>
      <c r="N84" s="3" t="s">
        <v>99</v>
      </c>
      <c r="O84">
        <v>1</v>
      </c>
      <c r="P84">
        <v>2</v>
      </c>
      <c r="Q84">
        <v>5</v>
      </c>
      <c r="R84">
        <v>0</v>
      </c>
      <c r="S84">
        <v>5</v>
      </c>
      <c r="T84" t="s">
        <v>100</v>
      </c>
      <c r="U84" t="s">
        <v>101</v>
      </c>
      <c r="V84">
        <v>52252344</v>
      </c>
      <c r="W84" t="str">
        <f t="shared" si="11"/>
        <v>Security 83</v>
      </c>
      <c r="X84" t="s">
        <v>106</v>
      </c>
      <c r="Y84" t="s">
        <v>107</v>
      </c>
      <c r="Z84" t="s">
        <v>96</v>
      </c>
      <c r="AA84" t="s">
        <v>107</v>
      </c>
      <c r="AB84" t="s">
        <v>107</v>
      </c>
      <c r="AC84" t="s">
        <v>107</v>
      </c>
      <c r="AD84" t="s">
        <v>96</v>
      </c>
      <c r="AE84" t="s">
        <v>96</v>
      </c>
      <c r="AF84" t="s">
        <v>108</v>
      </c>
      <c r="AG84" t="b">
        <v>0</v>
      </c>
      <c r="AH84" t="s">
        <v>96</v>
      </c>
      <c r="AI84" t="s">
        <v>107</v>
      </c>
      <c r="AJ84" t="s">
        <v>109</v>
      </c>
      <c r="AL84">
        <v>1</v>
      </c>
      <c r="AM84">
        <v>0.25</v>
      </c>
      <c r="AN84" t="s">
        <v>111</v>
      </c>
      <c r="AO84" t="s">
        <v>112</v>
      </c>
      <c r="AP84" t="s">
        <v>113</v>
      </c>
      <c r="AQ84" s="5">
        <v>45841</v>
      </c>
      <c r="AR84" s="5">
        <v>45841</v>
      </c>
      <c r="AS84" t="s">
        <v>115</v>
      </c>
      <c r="AT84" t="s">
        <v>115</v>
      </c>
      <c r="AU84" t="s">
        <v>115</v>
      </c>
      <c r="AW84" t="s">
        <v>115</v>
      </c>
      <c r="AX84" t="s">
        <v>115</v>
      </c>
      <c r="AY84" t="s">
        <v>117</v>
      </c>
      <c r="AZ84">
        <v>5</v>
      </c>
      <c r="BA84">
        <v>20</v>
      </c>
      <c r="BB84">
        <v>20</v>
      </c>
      <c r="BC84">
        <v>5</v>
      </c>
      <c r="BD84">
        <v>5</v>
      </c>
      <c r="BE84">
        <v>5</v>
      </c>
      <c r="BF84">
        <v>1</v>
      </c>
      <c r="BG84" t="s">
        <v>118</v>
      </c>
      <c r="BH84" t="s">
        <v>119</v>
      </c>
      <c r="BI84" t="b">
        <v>1</v>
      </c>
      <c r="BJ84">
        <v>1</v>
      </c>
      <c r="BK84">
        <v>1</v>
      </c>
      <c r="BL84" t="s">
        <v>115</v>
      </c>
      <c r="BN84">
        <v>10000</v>
      </c>
      <c r="BO84">
        <v>0</v>
      </c>
      <c r="BP84">
        <v>5078329</v>
      </c>
      <c r="BQ84">
        <v>5</v>
      </c>
      <c r="BR84">
        <v>20</v>
      </c>
      <c r="BS84">
        <v>100000009</v>
      </c>
      <c r="BT84" t="s">
        <v>149</v>
      </c>
    </row>
    <row r="85" spans="1:72" x14ac:dyDescent="0.25">
      <c r="A85" s="5">
        <v>45839</v>
      </c>
      <c r="B85" t="s">
        <v>95</v>
      </c>
      <c r="C85">
        <v>12</v>
      </c>
      <c r="D85">
        <v>100000001</v>
      </c>
      <c r="E85">
        <v>9</v>
      </c>
      <c r="F85">
        <v>9</v>
      </c>
      <c r="G85" t="s">
        <v>96</v>
      </c>
      <c r="H85" t="s">
        <v>124</v>
      </c>
      <c r="I85">
        <v>1</v>
      </c>
      <c r="J85">
        <v>163186</v>
      </c>
      <c r="K85">
        <v>297530132</v>
      </c>
      <c r="L85" t="s">
        <v>98</v>
      </c>
      <c r="M85">
        <v>1</v>
      </c>
      <c r="N85" s="3" t="s">
        <v>99</v>
      </c>
      <c r="O85">
        <v>1</v>
      </c>
      <c r="P85">
        <v>2</v>
      </c>
      <c r="Q85">
        <v>5</v>
      </c>
      <c r="R85">
        <v>0</v>
      </c>
      <c r="S85">
        <v>5</v>
      </c>
      <c r="T85" t="s">
        <v>100</v>
      </c>
      <c r="U85" t="s">
        <v>101</v>
      </c>
      <c r="V85">
        <v>24352523</v>
      </c>
      <c r="W85" t="str">
        <f t="shared" si="11"/>
        <v>Security 84</v>
      </c>
      <c r="X85" t="s">
        <v>106</v>
      </c>
      <c r="Y85" t="s">
        <v>107</v>
      </c>
      <c r="Z85" t="s">
        <v>96</v>
      </c>
      <c r="AA85" t="s">
        <v>107</v>
      </c>
      <c r="AB85" t="s">
        <v>107</v>
      </c>
      <c r="AC85" t="s">
        <v>107</v>
      </c>
      <c r="AD85" t="s">
        <v>96</v>
      </c>
      <c r="AE85" t="s">
        <v>96</v>
      </c>
      <c r="AF85" t="s">
        <v>108</v>
      </c>
      <c r="AG85" t="b">
        <v>0</v>
      </c>
      <c r="AH85" t="s">
        <v>96</v>
      </c>
      <c r="AI85" t="s">
        <v>107</v>
      </c>
      <c r="AJ85" t="s">
        <v>109</v>
      </c>
      <c r="AL85">
        <v>1</v>
      </c>
      <c r="AM85">
        <v>0.25</v>
      </c>
      <c r="AN85" t="s">
        <v>111</v>
      </c>
      <c r="AO85" t="s">
        <v>112</v>
      </c>
      <c r="AP85" t="s">
        <v>113</v>
      </c>
      <c r="AQ85" s="5">
        <v>45841</v>
      </c>
      <c r="AR85" s="5">
        <v>45841</v>
      </c>
      <c r="AS85" t="s">
        <v>115</v>
      </c>
      <c r="AT85" t="s">
        <v>115</v>
      </c>
      <c r="AU85" t="s">
        <v>115</v>
      </c>
      <c r="AV85" t="s">
        <v>115</v>
      </c>
      <c r="AW85" t="s">
        <v>115</v>
      </c>
      <c r="AX85" t="s">
        <v>115</v>
      </c>
      <c r="AY85" t="s">
        <v>117</v>
      </c>
      <c r="AZ85">
        <v>5</v>
      </c>
      <c r="BA85">
        <v>20</v>
      </c>
      <c r="BB85">
        <v>20</v>
      </c>
      <c r="BC85">
        <v>5</v>
      </c>
      <c r="BD85">
        <v>5</v>
      </c>
      <c r="BE85">
        <v>5</v>
      </c>
      <c r="BF85">
        <v>1</v>
      </c>
      <c r="BG85" t="s">
        <v>118</v>
      </c>
      <c r="BH85" t="s">
        <v>119</v>
      </c>
      <c r="BI85" t="b">
        <v>1</v>
      </c>
      <c r="BJ85">
        <v>1</v>
      </c>
      <c r="BK85">
        <v>1</v>
      </c>
      <c r="BL85" t="s">
        <v>115</v>
      </c>
      <c r="BM85" t="s">
        <v>115</v>
      </c>
      <c r="BN85">
        <v>10000</v>
      </c>
      <c r="BO85">
        <v>0</v>
      </c>
      <c r="BP85">
        <v>28000000</v>
      </c>
      <c r="BQ85">
        <v>5</v>
      </c>
      <c r="BR85">
        <v>20</v>
      </c>
      <c r="BS85">
        <v>100000009</v>
      </c>
      <c r="BT85" t="s">
        <v>149</v>
      </c>
    </row>
    <row r="86" spans="1:72" x14ac:dyDescent="0.25">
      <c r="A86" s="5">
        <v>45839</v>
      </c>
      <c r="B86" t="s">
        <v>95</v>
      </c>
      <c r="C86">
        <v>12</v>
      </c>
      <c r="D86">
        <v>100000001</v>
      </c>
      <c r="E86">
        <v>10</v>
      </c>
      <c r="F86">
        <v>10</v>
      </c>
      <c r="G86" t="s">
        <v>96</v>
      </c>
      <c r="H86" t="s">
        <v>124</v>
      </c>
      <c r="I86">
        <v>1</v>
      </c>
      <c r="J86">
        <v>163186</v>
      </c>
      <c r="K86">
        <v>78630255</v>
      </c>
      <c r="L86" t="s">
        <v>98</v>
      </c>
      <c r="M86">
        <v>1</v>
      </c>
      <c r="N86" s="3" t="s">
        <v>99</v>
      </c>
      <c r="O86">
        <v>1</v>
      </c>
      <c r="P86">
        <v>2</v>
      </c>
      <c r="Q86">
        <v>5</v>
      </c>
      <c r="R86">
        <v>0</v>
      </c>
      <c r="S86">
        <v>5</v>
      </c>
      <c r="T86" t="s">
        <v>100</v>
      </c>
      <c r="U86" t="s">
        <v>101</v>
      </c>
      <c r="V86" t="s">
        <v>150</v>
      </c>
      <c r="W86" t="str">
        <f t="shared" si="11"/>
        <v>Security 85</v>
      </c>
      <c r="X86" t="s">
        <v>106</v>
      </c>
      <c r="Y86" t="s">
        <v>107</v>
      </c>
      <c r="Z86" t="s">
        <v>96</v>
      </c>
      <c r="AA86" t="s">
        <v>107</v>
      </c>
      <c r="AB86" t="s">
        <v>107</v>
      </c>
      <c r="AC86" t="s">
        <v>107</v>
      </c>
      <c r="AD86" t="s">
        <v>96</v>
      </c>
      <c r="AE86" t="s">
        <v>96</v>
      </c>
      <c r="AF86" t="s">
        <v>108</v>
      </c>
      <c r="AG86" t="b">
        <v>0</v>
      </c>
      <c r="AH86" t="s">
        <v>96</v>
      </c>
      <c r="AI86" t="s">
        <v>107</v>
      </c>
      <c r="AJ86" t="s">
        <v>109</v>
      </c>
      <c r="AL86">
        <v>1</v>
      </c>
      <c r="AM86">
        <v>0.25</v>
      </c>
      <c r="AN86" t="s">
        <v>111</v>
      </c>
      <c r="AO86" t="s">
        <v>112</v>
      </c>
      <c r="AP86" t="s">
        <v>113</v>
      </c>
      <c r="AQ86" s="5">
        <v>45841</v>
      </c>
      <c r="AR86" s="5">
        <v>45841</v>
      </c>
      <c r="AS86" t="s">
        <v>115</v>
      </c>
      <c r="AT86" t="s">
        <v>115</v>
      </c>
      <c r="AU86" t="s">
        <v>115</v>
      </c>
      <c r="AV86" t="str">
        <f t="shared" ref="AV86:AV89" si="12">IF(OR(AT86="",AT86="null"),AX86,AT86)</f>
        <v>USD</v>
      </c>
      <c r="AW86" t="s">
        <v>115</v>
      </c>
      <c r="AX86" t="s">
        <v>115</v>
      </c>
      <c r="AY86" t="s">
        <v>117</v>
      </c>
      <c r="AZ86">
        <v>5</v>
      </c>
      <c r="BA86">
        <v>20</v>
      </c>
      <c r="BB86">
        <v>20</v>
      </c>
      <c r="BC86">
        <v>5</v>
      </c>
      <c r="BD86">
        <v>5</v>
      </c>
      <c r="BE86">
        <v>5</v>
      </c>
      <c r="BF86">
        <v>1</v>
      </c>
      <c r="BG86" t="s">
        <v>118</v>
      </c>
      <c r="BH86" t="s">
        <v>119</v>
      </c>
      <c r="BI86" t="b">
        <v>1</v>
      </c>
      <c r="BJ86">
        <v>1</v>
      </c>
      <c r="BK86">
        <v>1</v>
      </c>
      <c r="BL86" t="s">
        <v>115</v>
      </c>
      <c r="BM86" t="s">
        <v>115</v>
      </c>
      <c r="BN86">
        <v>8000</v>
      </c>
      <c r="BP86">
        <v>8799782</v>
      </c>
      <c r="BQ86">
        <v>5</v>
      </c>
      <c r="BR86">
        <v>20</v>
      </c>
      <c r="BS86">
        <v>100000010</v>
      </c>
      <c r="BT86" t="s">
        <v>152</v>
      </c>
    </row>
    <row r="87" spans="1:72" x14ac:dyDescent="0.25">
      <c r="A87" s="5">
        <v>45839</v>
      </c>
      <c r="B87" t="s">
        <v>95</v>
      </c>
      <c r="C87">
        <v>12</v>
      </c>
      <c r="D87">
        <v>100000001</v>
      </c>
      <c r="E87">
        <v>10</v>
      </c>
      <c r="F87">
        <v>10</v>
      </c>
      <c r="G87" t="s">
        <v>96</v>
      </c>
      <c r="H87" t="s">
        <v>124</v>
      </c>
      <c r="I87">
        <v>1</v>
      </c>
      <c r="J87">
        <v>163186</v>
      </c>
      <c r="K87">
        <v>45918726</v>
      </c>
      <c r="L87" t="s">
        <v>98</v>
      </c>
      <c r="M87">
        <v>1</v>
      </c>
      <c r="N87" s="3" t="s">
        <v>99</v>
      </c>
      <c r="O87">
        <v>1</v>
      </c>
      <c r="P87">
        <v>2</v>
      </c>
      <c r="Q87">
        <v>5</v>
      </c>
      <c r="R87">
        <v>0</v>
      </c>
      <c r="S87">
        <v>5</v>
      </c>
      <c r="T87" t="s">
        <v>100</v>
      </c>
      <c r="U87" t="s">
        <v>101</v>
      </c>
      <c r="V87">
        <v>29438204</v>
      </c>
      <c r="W87" t="str">
        <f t="shared" si="11"/>
        <v>Security 86</v>
      </c>
      <c r="X87" t="s">
        <v>106</v>
      </c>
      <c r="Y87" t="s">
        <v>107</v>
      </c>
      <c r="Z87" t="s">
        <v>96</v>
      </c>
      <c r="AA87" t="s">
        <v>107</v>
      </c>
      <c r="AB87" t="s">
        <v>107</v>
      </c>
      <c r="AC87" t="s">
        <v>107</v>
      </c>
      <c r="AD87" t="s">
        <v>96</v>
      </c>
      <c r="AE87" t="s">
        <v>96</v>
      </c>
      <c r="AF87" t="s">
        <v>108</v>
      </c>
      <c r="AG87" t="b">
        <v>0</v>
      </c>
      <c r="AH87" t="s">
        <v>96</v>
      </c>
      <c r="AI87" t="s">
        <v>107</v>
      </c>
      <c r="AJ87" t="s">
        <v>109</v>
      </c>
      <c r="AK87" t="s">
        <v>110</v>
      </c>
      <c r="AL87">
        <v>1</v>
      </c>
      <c r="AM87">
        <v>0.25</v>
      </c>
      <c r="AN87" t="s">
        <v>111</v>
      </c>
      <c r="AO87" t="s">
        <v>112</v>
      </c>
      <c r="AP87" t="s">
        <v>113</v>
      </c>
      <c r="AQ87" s="5">
        <v>45841</v>
      </c>
      <c r="AR87" s="5">
        <v>45841</v>
      </c>
      <c r="AS87" t="s">
        <v>115</v>
      </c>
      <c r="AT87" t="s">
        <v>115</v>
      </c>
      <c r="AU87" t="s">
        <v>115</v>
      </c>
      <c r="AV87" t="str">
        <f t="shared" si="12"/>
        <v>USD</v>
      </c>
      <c r="AW87" t="s">
        <v>115</v>
      </c>
      <c r="AX87" t="s">
        <v>115</v>
      </c>
      <c r="AY87" t="s">
        <v>116</v>
      </c>
      <c r="AZ87">
        <v>5</v>
      </c>
      <c r="BA87">
        <v>20</v>
      </c>
      <c r="BB87">
        <v>20</v>
      </c>
      <c r="BC87">
        <v>5</v>
      </c>
      <c r="BD87">
        <v>5</v>
      </c>
      <c r="BE87">
        <v>5</v>
      </c>
      <c r="BF87">
        <v>1</v>
      </c>
      <c r="BG87" t="s">
        <v>118</v>
      </c>
      <c r="BH87" t="s">
        <v>119</v>
      </c>
      <c r="BI87" t="b">
        <v>1</v>
      </c>
      <c r="BJ87">
        <v>1</v>
      </c>
      <c r="BK87">
        <v>1</v>
      </c>
      <c r="BL87" t="s">
        <v>115</v>
      </c>
      <c r="BM87" t="s">
        <v>115</v>
      </c>
      <c r="BN87">
        <v>1000</v>
      </c>
      <c r="BP87">
        <v>33168924</v>
      </c>
      <c r="BQ87">
        <v>5</v>
      </c>
      <c r="BR87">
        <v>20</v>
      </c>
      <c r="BS87">
        <v>100000010</v>
      </c>
      <c r="BT87" t="s">
        <v>152</v>
      </c>
    </row>
    <row r="88" spans="1:72" x14ac:dyDescent="0.25">
      <c r="A88" s="5">
        <v>45839</v>
      </c>
      <c r="B88" t="s">
        <v>95</v>
      </c>
      <c r="C88">
        <v>12</v>
      </c>
      <c r="D88">
        <v>100000001</v>
      </c>
      <c r="E88">
        <v>10</v>
      </c>
      <c r="F88">
        <v>10</v>
      </c>
      <c r="G88" t="s">
        <v>96</v>
      </c>
      <c r="H88" t="s">
        <v>124</v>
      </c>
      <c r="I88">
        <v>15</v>
      </c>
      <c r="J88">
        <v>163186</v>
      </c>
      <c r="K88">
        <v>98026346</v>
      </c>
      <c r="L88" t="s">
        <v>98</v>
      </c>
      <c r="M88">
        <v>1</v>
      </c>
      <c r="N88" s="3" t="s">
        <v>99</v>
      </c>
      <c r="O88">
        <v>1</v>
      </c>
      <c r="P88">
        <v>2</v>
      </c>
      <c r="Q88">
        <v>5</v>
      </c>
      <c r="R88">
        <v>0</v>
      </c>
      <c r="S88">
        <v>5</v>
      </c>
      <c r="T88" t="s">
        <v>100</v>
      </c>
      <c r="U88" t="s">
        <v>101</v>
      </c>
      <c r="V88" t="s">
        <v>151</v>
      </c>
      <c r="W88" t="str">
        <f t="shared" si="11"/>
        <v>Security 87</v>
      </c>
      <c r="X88" t="s">
        <v>106</v>
      </c>
      <c r="Y88" t="s">
        <v>107</v>
      </c>
      <c r="Z88" t="s">
        <v>96</v>
      </c>
      <c r="AA88" t="s">
        <v>107</v>
      </c>
      <c r="AB88" t="s">
        <v>107</v>
      </c>
      <c r="AC88" t="s">
        <v>107</v>
      </c>
      <c r="AD88" t="s">
        <v>96</v>
      </c>
      <c r="AE88" t="s">
        <v>96</v>
      </c>
      <c r="AF88" t="s">
        <v>108</v>
      </c>
      <c r="AG88" t="b">
        <v>0</v>
      </c>
      <c r="AH88" t="s">
        <v>96</v>
      </c>
      <c r="AI88" t="s">
        <v>107</v>
      </c>
      <c r="AJ88" t="s">
        <v>109</v>
      </c>
      <c r="AL88">
        <v>1</v>
      </c>
      <c r="AM88">
        <v>0.25</v>
      </c>
      <c r="AN88" t="s">
        <v>111</v>
      </c>
      <c r="AO88" t="s">
        <v>112</v>
      </c>
      <c r="AP88" t="s">
        <v>113</v>
      </c>
      <c r="AQ88" s="5">
        <v>45841</v>
      </c>
      <c r="AR88" s="5">
        <v>45841</v>
      </c>
      <c r="AS88" t="s">
        <v>115</v>
      </c>
      <c r="AT88" t="s">
        <v>115</v>
      </c>
      <c r="AV88" t="str">
        <f t="shared" si="12"/>
        <v>USD</v>
      </c>
      <c r="AW88" t="s">
        <v>115</v>
      </c>
      <c r="AX88" t="s">
        <v>115</v>
      </c>
      <c r="AY88" t="s">
        <v>116</v>
      </c>
      <c r="AZ88">
        <v>5</v>
      </c>
      <c r="BA88">
        <v>20</v>
      </c>
      <c r="BB88">
        <v>20</v>
      </c>
      <c r="BC88">
        <v>5</v>
      </c>
      <c r="BD88">
        <v>5</v>
      </c>
      <c r="BE88">
        <v>5</v>
      </c>
      <c r="BF88">
        <v>1</v>
      </c>
      <c r="BG88" t="s">
        <v>118</v>
      </c>
      <c r="BH88" t="s">
        <v>119</v>
      </c>
      <c r="BI88" t="b">
        <v>1</v>
      </c>
      <c r="BJ88">
        <v>1</v>
      </c>
      <c r="BK88">
        <v>1</v>
      </c>
      <c r="BM88" t="s">
        <v>115</v>
      </c>
      <c r="BN88">
        <v>20000</v>
      </c>
      <c r="BP88">
        <v>1584420123</v>
      </c>
      <c r="BQ88">
        <v>5</v>
      </c>
      <c r="BR88">
        <v>20</v>
      </c>
      <c r="BS88">
        <v>100000010</v>
      </c>
      <c r="BT88" t="s">
        <v>152</v>
      </c>
    </row>
    <row r="89" spans="1:72" x14ac:dyDescent="0.25">
      <c r="A89" s="5">
        <v>45839</v>
      </c>
      <c r="B89" t="s">
        <v>95</v>
      </c>
      <c r="C89">
        <v>12</v>
      </c>
      <c r="D89">
        <v>100000001</v>
      </c>
      <c r="E89">
        <v>10</v>
      </c>
      <c r="F89">
        <v>10</v>
      </c>
      <c r="G89" t="s">
        <v>96</v>
      </c>
      <c r="H89" t="s">
        <v>124</v>
      </c>
      <c r="I89">
        <v>1</v>
      </c>
      <c r="J89">
        <v>163186</v>
      </c>
      <c r="K89">
        <v>81371582</v>
      </c>
      <c r="L89" t="s">
        <v>98</v>
      </c>
      <c r="M89">
        <v>1</v>
      </c>
      <c r="N89" s="3" t="s">
        <v>99</v>
      </c>
      <c r="O89">
        <v>1</v>
      </c>
      <c r="P89">
        <v>2</v>
      </c>
      <c r="Q89">
        <v>5</v>
      </c>
      <c r="R89">
        <v>0</v>
      </c>
      <c r="S89">
        <v>40</v>
      </c>
      <c r="T89" t="s">
        <v>100</v>
      </c>
      <c r="U89" t="s">
        <v>101</v>
      </c>
      <c r="V89">
        <v>12893452</v>
      </c>
      <c r="W89" t="str">
        <f t="shared" si="11"/>
        <v>Security 88</v>
      </c>
      <c r="X89" t="s">
        <v>106</v>
      </c>
      <c r="Y89" t="s">
        <v>107</v>
      </c>
      <c r="Z89" t="s">
        <v>96</v>
      </c>
      <c r="AA89" t="s">
        <v>96</v>
      </c>
      <c r="AB89" t="s">
        <v>107</v>
      </c>
      <c r="AC89" t="s">
        <v>107</v>
      </c>
      <c r="AD89" t="s">
        <v>96</v>
      </c>
      <c r="AE89" t="s">
        <v>96</v>
      </c>
      <c r="AF89" t="s">
        <v>108</v>
      </c>
      <c r="AG89" t="b">
        <v>0</v>
      </c>
      <c r="AH89" t="s">
        <v>96</v>
      </c>
      <c r="AI89" t="s">
        <v>107</v>
      </c>
      <c r="AJ89" t="s">
        <v>109</v>
      </c>
      <c r="AL89">
        <v>1</v>
      </c>
      <c r="AM89">
        <v>0.25</v>
      </c>
      <c r="AN89" t="s">
        <v>111</v>
      </c>
      <c r="AO89" t="s">
        <v>112</v>
      </c>
      <c r="AP89" t="s">
        <v>113</v>
      </c>
      <c r="AQ89" s="5">
        <v>45841</v>
      </c>
      <c r="AR89" s="5">
        <v>45841</v>
      </c>
      <c r="AS89" t="s">
        <v>115</v>
      </c>
      <c r="AT89" t="s">
        <v>115</v>
      </c>
      <c r="AU89" t="s">
        <v>115</v>
      </c>
      <c r="AV89" t="str">
        <f t="shared" si="12"/>
        <v>USD</v>
      </c>
      <c r="AW89" t="s">
        <v>115</v>
      </c>
      <c r="AX89" t="s">
        <v>115</v>
      </c>
      <c r="AY89" t="s">
        <v>116</v>
      </c>
      <c r="AZ89">
        <v>5</v>
      </c>
      <c r="BA89">
        <v>20</v>
      </c>
      <c r="BB89">
        <v>20</v>
      </c>
      <c r="BC89">
        <v>5</v>
      </c>
      <c r="BD89">
        <v>5</v>
      </c>
      <c r="BE89">
        <v>5</v>
      </c>
      <c r="BF89">
        <v>1</v>
      </c>
      <c r="BG89" t="s">
        <v>118</v>
      </c>
      <c r="BH89" t="s">
        <v>119</v>
      </c>
      <c r="BI89" t="b">
        <v>1</v>
      </c>
      <c r="BJ89">
        <v>0</v>
      </c>
      <c r="BK89">
        <v>1</v>
      </c>
      <c r="BL89" t="s">
        <v>115</v>
      </c>
      <c r="BM89" t="s">
        <v>115</v>
      </c>
      <c r="BN89">
        <v>20000</v>
      </c>
      <c r="BP89">
        <v>19029</v>
      </c>
      <c r="BQ89">
        <v>5</v>
      </c>
      <c r="BR89">
        <v>20</v>
      </c>
      <c r="BS89">
        <v>100000010</v>
      </c>
      <c r="BT89" t="s">
        <v>152</v>
      </c>
    </row>
  </sheetData>
  <autoFilter ref="B1:BT89" xr:uid="{C0EDFA33-DA5D-4E3D-BA38-E34454F2D8E1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8A6DC-23FE-4FAB-95B1-3F91FAE2234F}">
  <dimension ref="A1:CE51"/>
  <sheetViews>
    <sheetView topLeftCell="BD25" workbookViewId="0">
      <selection sqref="A1:XFD1048576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10" bestFit="1" customWidth="1"/>
    <col min="4" max="4" width="12.5703125" bestFit="1" customWidth="1"/>
    <col min="5" max="5" width="19.5703125" bestFit="1" customWidth="1"/>
    <col min="6" max="6" width="11.42578125" customWidth="1"/>
    <col min="7" max="7" width="18.85546875" customWidth="1"/>
    <col min="8" max="8" width="10" customWidth="1"/>
    <col min="9" max="9" width="16" customWidth="1"/>
    <col min="10" max="10" width="13.85546875" customWidth="1"/>
    <col min="11" max="11" width="13.140625" customWidth="1"/>
    <col min="12" max="12" width="19.5703125" customWidth="1"/>
    <col min="13" max="13" width="18.140625" style="3" customWidth="1"/>
    <col min="14" max="14" width="11" customWidth="1"/>
    <col min="15" max="15" width="11.5703125" customWidth="1"/>
    <col min="16" max="16" width="14.28515625" customWidth="1"/>
    <col min="17" max="17" width="14.7109375" customWidth="1"/>
    <col min="18" max="18" width="15.42578125" customWidth="1"/>
    <col min="19" max="19" width="14.140625" customWidth="1"/>
    <col min="20" max="21" width="14.7109375" customWidth="1"/>
    <col min="22" max="22" width="18.7109375" customWidth="1"/>
    <col min="23" max="23" width="14" customWidth="1"/>
    <col min="24" max="24" width="16.85546875" customWidth="1"/>
    <col min="25" max="25" width="20.7109375" customWidth="1"/>
    <col min="26" max="26" width="18.140625" customWidth="1"/>
    <col min="27" max="27" width="19.85546875" customWidth="1"/>
    <col min="28" max="28" width="18.7109375" customWidth="1"/>
    <col min="29" max="29" width="23.140625" customWidth="1"/>
    <col min="30" max="30" width="23.42578125" customWidth="1"/>
    <col min="31" max="31" width="22" customWidth="1"/>
    <col min="32" max="32" width="24.42578125" customWidth="1"/>
    <col min="33" max="33" width="8.7109375" customWidth="1"/>
    <col min="34" max="34" width="10.7109375" customWidth="1"/>
    <col min="35" max="35" width="17.42578125" customWidth="1"/>
    <col min="36" max="36" width="23.28515625" customWidth="1"/>
    <col min="37" max="37" width="33.85546875" customWidth="1"/>
    <col min="38" max="38" width="7.42578125" customWidth="1"/>
    <col min="39" max="39" width="20.42578125" customWidth="1"/>
    <col min="40" max="40" width="24.42578125" customWidth="1"/>
    <col min="41" max="41" width="43.5703125" customWidth="1"/>
    <col min="42" max="42" width="14.7109375" customWidth="1"/>
    <col min="43" max="43" width="12.5703125" customWidth="1"/>
    <col min="44" max="44" width="12.140625" customWidth="1"/>
    <col min="45" max="46" width="7.7109375" customWidth="1"/>
    <col min="47" max="47" width="8.28515625" customWidth="1"/>
    <col min="48" max="48" width="14.5703125" customWidth="1"/>
    <col min="49" max="49" width="22" customWidth="1"/>
    <col min="50" max="50" width="18.7109375" customWidth="1"/>
    <col min="51" max="51" width="19.28515625" customWidth="1"/>
    <col min="53" max="53" width="12.42578125" customWidth="1"/>
    <col min="54" max="54" width="17" customWidth="1"/>
    <col min="55" max="55" width="12.42578125" customWidth="1"/>
    <col min="56" max="56" width="18" customWidth="1"/>
    <col min="57" max="57" width="22" customWidth="1"/>
    <col min="58" max="58" width="9.85546875" customWidth="1"/>
    <col min="59" max="59" width="21.5703125" customWidth="1"/>
    <col min="60" max="60" width="14.5703125" customWidth="1"/>
    <col min="61" max="61" width="20.140625" customWidth="1"/>
    <col min="62" max="62" width="18" customWidth="1"/>
    <col min="63" max="63" width="19.140625" style="7" customWidth="1"/>
    <col min="64" max="64" width="19.7109375" style="7" customWidth="1"/>
    <col min="65" max="65" width="17.28515625" style="7" customWidth="1"/>
    <col min="66" max="67" width="22.42578125" style="7" customWidth="1"/>
    <col min="68" max="68" width="24.5703125" style="7" customWidth="1"/>
    <col min="69" max="69" width="24.28515625" style="7" customWidth="1"/>
    <col min="70" max="70" width="24.85546875" style="7" customWidth="1"/>
    <col min="71" max="71" width="32.42578125" style="7" customWidth="1"/>
    <col min="72" max="72" width="17.42578125" customWidth="1"/>
    <col min="73" max="73" width="18" customWidth="1"/>
    <col min="74" max="74" width="36.85546875" customWidth="1"/>
    <col min="75" max="75" width="36.28515625" customWidth="1"/>
    <col min="76" max="76" width="15.85546875" customWidth="1"/>
    <col min="77" max="77" width="9" customWidth="1"/>
    <col min="78" max="78" width="14.85546875" bestFit="1" customWidth="1"/>
    <col min="79" max="79" width="20.28515625" customWidth="1"/>
    <col min="80" max="81" width="19.7109375" customWidth="1"/>
    <col min="82" max="82" width="18.28515625" bestFit="1" customWidth="1"/>
    <col min="83" max="83" width="12" bestFit="1" customWidth="1"/>
  </cols>
  <sheetData>
    <row r="1" spans="1:8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102</v>
      </c>
      <c r="V1" s="1" t="s">
        <v>20</v>
      </c>
      <c r="W1" s="1" t="s">
        <v>21</v>
      </c>
      <c r="X1" s="1" t="s">
        <v>22</v>
      </c>
      <c r="Y1" s="1" t="s">
        <v>23</v>
      </c>
      <c r="Z1" s="4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4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122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1" t="s">
        <v>72</v>
      </c>
      <c r="BU1" s="1" t="s">
        <v>73</v>
      </c>
      <c r="BV1" s="1" t="s">
        <v>74</v>
      </c>
      <c r="BW1" s="1" t="s">
        <v>75</v>
      </c>
      <c r="BX1" s="1" t="s">
        <v>76</v>
      </c>
      <c r="BY1" s="1" t="s">
        <v>83</v>
      </c>
      <c r="BZ1" s="1" t="s">
        <v>84</v>
      </c>
      <c r="CA1" s="1" t="s">
        <v>85</v>
      </c>
      <c r="CB1" s="1" t="s">
        <v>91</v>
      </c>
      <c r="CC1" s="1" t="s">
        <v>92</v>
      </c>
      <c r="CD1" s="1" t="s">
        <v>93</v>
      </c>
      <c r="CE1" s="1" t="s">
        <v>94</v>
      </c>
    </row>
    <row r="2" spans="1:83" x14ac:dyDescent="0.25">
      <c r="A2" t="s">
        <v>95</v>
      </c>
      <c r="B2">
        <v>12</v>
      </c>
      <c r="C2">
        <v>100000001</v>
      </c>
      <c r="D2">
        <v>1</v>
      </c>
      <c r="E2">
        <v>1</v>
      </c>
      <c r="F2" t="s">
        <v>96</v>
      </c>
      <c r="G2" t="s">
        <v>97</v>
      </c>
      <c r="H2">
        <v>15</v>
      </c>
      <c r="I2">
        <v>163186</v>
      </c>
      <c r="J2">
        <v>59328417</v>
      </c>
      <c r="K2" t="s">
        <v>98</v>
      </c>
      <c r="L2">
        <v>1</v>
      </c>
      <c r="M2" s="3" t="s">
        <v>99</v>
      </c>
      <c r="N2">
        <v>1</v>
      </c>
      <c r="O2">
        <v>2</v>
      </c>
      <c r="P2">
        <v>5</v>
      </c>
      <c r="Q2">
        <v>0</v>
      </c>
      <c r="R2">
        <v>5</v>
      </c>
      <c r="S2" t="s">
        <v>100</v>
      </c>
      <c r="T2" t="s">
        <v>101</v>
      </c>
      <c r="U2" t="s">
        <v>103</v>
      </c>
      <c r="V2" t="str">
        <f>_xlfn.CONCAT("Security ",ROW()-1)</f>
        <v>Security 1</v>
      </c>
      <c r="W2" t="s">
        <v>106</v>
      </c>
      <c r="X2" t="s">
        <v>107</v>
      </c>
      <c r="Y2" t="s">
        <v>107</v>
      </c>
      <c r="Z2" t="s">
        <v>107</v>
      </c>
      <c r="AA2" t="s">
        <v>107</v>
      </c>
      <c r="AB2" t="s">
        <v>107</v>
      </c>
      <c r="AC2" t="s">
        <v>96</v>
      </c>
      <c r="AD2" t="s">
        <v>96</v>
      </c>
      <c r="AE2" t="s">
        <v>108</v>
      </c>
      <c r="AF2" t="b">
        <v>0</v>
      </c>
      <c r="AG2" t="s">
        <v>96</v>
      </c>
      <c r="AH2" t="s">
        <v>107</v>
      </c>
      <c r="AI2" t="s">
        <v>109</v>
      </c>
      <c r="AK2">
        <v>1</v>
      </c>
      <c r="AL2">
        <v>0.15</v>
      </c>
      <c r="AM2" t="s">
        <v>111</v>
      </c>
      <c r="AN2" t="s">
        <v>112</v>
      </c>
      <c r="AO2" t="s">
        <v>113</v>
      </c>
      <c r="AP2" s="5">
        <v>1</v>
      </c>
      <c r="AR2" t="s">
        <v>114</v>
      </c>
      <c r="AS2" t="s">
        <v>114</v>
      </c>
      <c r="AU2" t="str">
        <f>IF(OR(AS2="",AS2="null"),AW2,AS2)</f>
        <v>EUR</v>
      </c>
      <c r="AV2" t="s">
        <v>115</v>
      </c>
      <c r="AW2" t="s">
        <v>115</v>
      </c>
      <c r="AX2" t="s">
        <v>116</v>
      </c>
      <c r="AY2">
        <v>10</v>
      </c>
      <c r="AZ2">
        <v>20</v>
      </c>
      <c r="BA2">
        <v>20</v>
      </c>
      <c r="BB2">
        <v>10</v>
      </c>
      <c r="BC2">
        <v>10</v>
      </c>
      <c r="BD2">
        <v>10</v>
      </c>
      <c r="BE2">
        <v>1</v>
      </c>
      <c r="BF2" t="s">
        <v>118</v>
      </c>
      <c r="BG2" t="s">
        <v>119</v>
      </c>
      <c r="BH2" t="b">
        <v>1</v>
      </c>
      <c r="BI2">
        <v>1</v>
      </c>
      <c r="BJ2">
        <v>1</v>
      </c>
      <c r="BK2"/>
      <c r="BL2">
        <v>891186.97</v>
      </c>
      <c r="BM2">
        <v>891186.97</v>
      </c>
      <c r="BN2">
        <v>891186.97</v>
      </c>
      <c r="BO2">
        <v>891186.97</v>
      </c>
      <c r="BP2">
        <v>891186.97</v>
      </c>
      <c r="BQ2"/>
      <c r="BR2">
        <v>891186.97</v>
      </c>
      <c r="BS2">
        <v>891186.97</v>
      </c>
      <c r="BU2" t="s">
        <v>114</v>
      </c>
      <c r="BV2">
        <v>891186.97</v>
      </c>
      <c r="BX2">
        <v>18000</v>
      </c>
      <c r="BZ2">
        <v>891186.97</v>
      </c>
      <c r="CA2">
        <v>891186.97</v>
      </c>
      <c r="CB2">
        <v>10</v>
      </c>
      <c r="CC2">
        <v>20</v>
      </c>
      <c r="CD2">
        <v>100000001</v>
      </c>
      <c r="CE2" t="s">
        <v>123</v>
      </c>
    </row>
    <row r="3" spans="1:83" x14ac:dyDescent="0.25">
      <c r="A3" t="s">
        <v>95</v>
      </c>
      <c r="B3">
        <v>12</v>
      </c>
      <c r="C3">
        <v>100000001</v>
      </c>
      <c r="D3">
        <v>1</v>
      </c>
      <c r="E3">
        <v>1</v>
      </c>
      <c r="F3" t="s">
        <v>96</v>
      </c>
      <c r="G3" t="s">
        <v>97</v>
      </c>
      <c r="H3">
        <v>15</v>
      </c>
      <c r="I3">
        <v>163186</v>
      </c>
      <c r="J3">
        <v>81426350</v>
      </c>
      <c r="K3" t="s">
        <v>98</v>
      </c>
      <c r="L3">
        <v>1</v>
      </c>
      <c r="M3" s="3" t="s">
        <v>99</v>
      </c>
      <c r="N3">
        <v>1</v>
      </c>
      <c r="O3">
        <v>2</v>
      </c>
      <c r="P3">
        <v>5</v>
      </c>
      <c r="Q3">
        <v>0</v>
      </c>
      <c r="R3">
        <v>5</v>
      </c>
      <c r="S3" t="s">
        <v>100</v>
      </c>
      <c r="T3" t="s">
        <v>101</v>
      </c>
      <c r="U3" t="s">
        <v>104</v>
      </c>
      <c r="V3" t="str">
        <f t="shared" ref="V3:V51" si="0">_xlfn.CONCAT("Security ",ROW()-1)</f>
        <v>Security 2</v>
      </c>
      <c r="W3" t="s">
        <v>106</v>
      </c>
      <c r="X3" t="s">
        <v>107</v>
      </c>
      <c r="Y3" t="s">
        <v>107</v>
      </c>
      <c r="Z3" t="s">
        <v>107</v>
      </c>
      <c r="AA3" t="s">
        <v>107</v>
      </c>
      <c r="AB3" t="s">
        <v>107</v>
      </c>
      <c r="AC3" t="s">
        <v>96</v>
      </c>
      <c r="AD3" t="s">
        <v>96</v>
      </c>
      <c r="AE3" t="s">
        <v>108</v>
      </c>
      <c r="AF3" t="b">
        <v>0</v>
      </c>
      <c r="AG3" t="s">
        <v>96</v>
      </c>
      <c r="AH3" t="s">
        <v>107</v>
      </c>
      <c r="AI3" t="s">
        <v>109</v>
      </c>
      <c r="AK3">
        <v>1</v>
      </c>
      <c r="AL3">
        <v>0.25</v>
      </c>
      <c r="AM3" t="s">
        <v>111</v>
      </c>
      <c r="AN3" t="s">
        <v>112</v>
      </c>
      <c r="AO3" t="s">
        <v>113</v>
      </c>
      <c r="AP3" s="5">
        <v>1</v>
      </c>
      <c r="AR3" t="s">
        <v>115</v>
      </c>
      <c r="AS3" t="s">
        <v>115</v>
      </c>
      <c r="AU3" t="str">
        <f t="shared" ref="AU3:AU6" si="1">IF(OR(AS3="",AS3="null"),AW3,AS3)</f>
        <v>USD</v>
      </c>
      <c r="AV3" t="s">
        <v>115</v>
      </c>
      <c r="AW3" t="s">
        <v>115</v>
      </c>
      <c r="AX3" t="s">
        <v>116</v>
      </c>
      <c r="AY3">
        <v>10</v>
      </c>
      <c r="AZ3">
        <v>20</v>
      </c>
      <c r="BA3">
        <v>20</v>
      </c>
      <c r="BB3">
        <v>10</v>
      </c>
      <c r="BC3">
        <v>10</v>
      </c>
      <c r="BD3">
        <v>10</v>
      </c>
      <c r="BE3">
        <v>1</v>
      </c>
      <c r="BF3" t="s">
        <v>118</v>
      </c>
      <c r="BG3" t="s">
        <v>119</v>
      </c>
      <c r="BH3" t="b">
        <v>1</v>
      </c>
      <c r="BI3">
        <v>1</v>
      </c>
      <c r="BJ3">
        <v>1</v>
      </c>
      <c r="BK3"/>
      <c r="BL3">
        <v>113431.08</v>
      </c>
      <c r="BM3">
        <v>113431.08</v>
      </c>
      <c r="BN3">
        <v>113431.08</v>
      </c>
      <c r="BO3">
        <v>113431.08</v>
      </c>
      <c r="BP3">
        <v>113431.08</v>
      </c>
      <c r="BQ3"/>
      <c r="BR3">
        <v>113431.08</v>
      </c>
      <c r="BS3">
        <v>113431.08</v>
      </c>
      <c r="BU3" t="s">
        <v>115</v>
      </c>
      <c r="BV3">
        <v>113431.08</v>
      </c>
      <c r="BX3">
        <v>8000</v>
      </c>
      <c r="BZ3">
        <v>113431.08</v>
      </c>
      <c r="CA3">
        <v>113431.08</v>
      </c>
      <c r="CB3">
        <v>10</v>
      </c>
      <c r="CC3">
        <v>20</v>
      </c>
      <c r="CD3">
        <v>100000001</v>
      </c>
      <c r="CE3" t="s">
        <v>123</v>
      </c>
    </row>
    <row r="4" spans="1:83" x14ac:dyDescent="0.25">
      <c r="A4" t="s">
        <v>95</v>
      </c>
      <c r="B4">
        <v>12</v>
      </c>
      <c r="C4">
        <v>100000001</v>
      </c>
      <c r="D4">
        <v>1</v>
      </c>
      <c r="E4">
        <v>1</v>
      </c>
      <c r="F4" t="s">
        <v>96</v>
      </c>
      <c r="G4" t="s">
        <v>97</v>
      </c>
      <c r="H4">
        <v>15</v>
      </c>
      <c r="I4">
        <v>163186</v>
      </c>
      <c r="J4">
        <v>70219543</v>
      </c>
      <c r="K4" t="s">
        <v>98</v>
      </c>
      <c r="L4">
        <v>1</v>
      </c>
      <c r="M4" s="3" t="s">
        <v>99</v>
      </c>
      <c r="N4">
        <v>1</v>
      </c>
      <c r="O4">
        <v>2</v>
      </c>
      <c r="P4">
        <v>5</v>
      </c>
      <c r="Q4">
        <v>0</v>
      </c>
      <c r="R4">
        <v>5</v>
      </c>
      <c r="S4" t="s">
        <v>100</v>
      </c>
      <c r="T4" t="s">
        <v>101</v>
      </c>
      <c r="U4">
        <v>294382048</v>
      </c>
      <c r="V4" t="str">
        <f t="shared" si="0"/>
        <v>Security 3</v>
      </c>
      <c r="W4" t="s">
        <v>106</v>
      </c>
      <c r="X4" t="s">
        <v>107</v>
      </c>
      <c r="Y4" t="s">
        <v>107</v>
      </c>
      <c r="Z4" t="s">
        <v>107</v>
      </c>
      <c r="AA4" t="s">
        <v>107</v>
      </c>
      <c r="AB4" t="s">
        <v>107</v>
      </c>
      <c r="AC4" t="s">
        <v>96</v>
      </c>
      <c r="AD4" t="s">
        <v>96</v>
      </c>
      <c r="AE4" t="s">
        <v>108</v>
      </c>
      <c r="AF4" t="b">
        <v>0</v>
      </c>
      <c r="AG4" t="s">
        <v>96</v>
      </c>
      <c r="AH4" t="s">
        <v>107</v>
      </c>
      <c r="AI4" t="s">
        <v>109</v>
      </c>
      <c r="AJ4" t="s">
        <v>110</v>
      </c>
      <c r="AK4">
        <v>1</v>
      </c>
      <c r="AL4">
        <v>0.25</v>
      </c>
      <c r="AM4" t="s">
        <v>111</v>
      </c>
      <c r="AN4" t="s">
        <v>112</v>
      </c>
      <c r="AO4" t="s">
        <v>113</v>
      </c>
      <c r="AP4" s="5">
        <v>1</v>
      </c>
      <c r="AR4" t="s">
        <v>115</v>
      </c>
      <c r="AS4" t="s">
        <v>115</v>
      </c>
      <c r="AU4" t="str">
        <f t="shared" si="1"/>
        <v>USD</v>
      </c>
      <c r="AV4" t="s">
        <v>115</v>
      </c>
      <c r="AW4" t="s">
        <v>115</v>
      </c>
      <c r="AX4" t="s">
        <v>117</v>
      </c>
      <c r="AY4">
        <v>10</v>
      </c>
      <c r="AZ4">
        <v>20</v>
      </c>
      <c r="BA4">
        <v>20</v>
      </c>
      <c r="BB4">
        <v>10</v>
      </c>
      <c r="BC4">
        <v>10</v>
      </c>
      <c r="BD4">
        <v>10</v>
      </c>
      <c r="BE4">
        <v>1</v>
      </c>
      <c r="BF4" t="s">
        <v>118</v>
      </c>
      <c r="BG4" t="s">
        <v>119</v>
      </c>
      <c r="BH4" t="b">
        <v>1</v>
      </c>
      <c r="BI4">
        <v>1</v>
      </c>
      <c r="BJ4">
        <v>1</v>
      </c>
      <c r="BK4">
        <v>14744.43</v>
      </c>
      <c r="BL4"/>
      <c r="BM4"/>
      <c r="BN4"/>
      <c r="BO4"/>
      <c r="BP4"/>
      <c r="BQ4">
        <v>14744.43</v>
      </c>
      <c r="BR4"/>
      <c r="BS4"/>
      <c r="BT4" t="s">
        <v>115</v>
      </c>
      <c r="BW4">
        <v>14744.43</v>
      </c>
      <c r="BX4">
        <v>1000</v>
      </c>
      <c r="BZ4">
        <v>14744.43</v>
      </c>
      <c r="CA4">
        <v>14744.43</v>
      </c>
      <c r="CB4">
        <v>10</v>
      </c>
      <c r="CC4">
        <v>20</v>
      </c>
      <c r="CD4">
        <v>100000001</v>
      </c>
      <c r="CE4" t="s">
        <v>123</v>
      </c>
    </row>
    <row r="5" spans="1:83" x14ac:dyDescent="0.25">
      <c r="A5" t="s">
        <v>95</v>
      </c>
      <c r="B5">
        <v>12</v>
      </c>
      <c r="C5">
        <v>100000001</v>
      </c>
      <c r="D5">
        <v>1</v>
      </c>
      <c r="E5">
        <v>1</v>
      </c>
      <c r="F5" t="s">
        <v>96</v>
      </c>
      <c r="G5" t="s">
        <v>97</v>
      </c>
      <c r="H5">
        <v>15</v>
      </c>
      <c r="I5">
        <v>163186</v>
      </c>
      <c r="J5">
        <v>49613820</v>
      </c>
      <c r="K5" t="s">
        <v>98</v>
      </c>
      <c r="L5">
        <v>1</v>
      </c>
      <c r="M5" s="3" t="s">
        <v>99</v>
      </c>
      <c r="N5">
        <v>1</v>
      </c>
      <c r="O5">
        <v>2</v>
      </c>
      <c r="P5">
        <v>5</v>
      </c>
      <c r="Q5">
        <v>0</v>
      </c>
      <c r="R5">
        <v>5</v>
      </c>
      <c r="S5" t="s">
        <v>100</v>
      </c>
      <c r="T5" t="s">
        <v>101</v>
      </c>
      <c r="U5">
        <v>325892398</v>
      </c>
      <c r="V5" t="str">
        <f t="shared" si="0"/>
        <v>Security 4</v>
      </c>
      <c r="W5" t="s">
        <v>106</v>
      </c>
      <c r="X5" t="s">
        <v>107</v>
      </c>
      <c r="Y5" t="s">
        <v>107</v>
      </c>
      <c r="Z5" t="s">
        <v>107</v>
      </c>
      <c r="AA5" t="s">
        <v>107</v>
      </c>
      <c r="AB5" t="s">
        <v>107</v>
      </c>
      <c r="AC5" t="s">
        <v>96</v>
      </c>
      <c r="AD5" t="s">
        <v>96</v>
      </c>
      <c r="AE5" t="s">
        <v>108</v>
      </c>
      <c r="AF5" t="b">
        <v>0</v>
      </c>
      <c r="AG5" t="s">
        <v>96</v>
      </c>
      <c r="AH5" t="s">
        <v>107</v>
      </c>
      <c r="AI5" t="s">
        <v>109</v>
      </c>
      <c r="AK5">
        <v>1</v>
      </c>
      <c r="AL5">
        <v>0.25</v>
      </c>
      <c r="AM5" t="s">
        <v>111</v>
      </c>
      <c r="AN5" t="s">
        <v>112</v>
      </c>
      <c r="AO5" t="s">
        <v>113</v>
      </c>
      <c r="AP5" s="5">
        <v>1</v>
      </c>
      <c r="AR5" t="s">
        <v>115</v>
      </c>
      <c r="AS5" t="s">
        <v>115</v>
      </c>
      <c r="AU5" t="str">
        <f t="shared" si="1"/>
        <v>USD</v>
      </c>
      <c r="AV5" t="s">
        <v>115</v>
      </c>
      <c r="AW5" t="s">
        <v>115</v>
      </c>
      <c r="AX5" t="s">
        <v>116</v>
      </c>
      <c r="AY5">
        <v>10</v>
      </c>
      <c r="AZ5">
        <v>20</v>
      </c>
      <c r="BA5">
        <v>20</v>
      </c>
      <c r="BB5">
        <v>10</v>
      </c>
      <c r="BC5">
        <v>10</v>
      </c>
      <c r="BD5">
        <v>10</v>
      </c>
      <c r="BE5">
        <v>1</v>
      </c>
      <c r="BF5" t="s">
        <v>118</v>
      </c>
      <c r="BG5" t="s">
        <v>119</v>
      </c>
      <c r="BH5" t="b">
        <v>1</v>
      </c>
      <c r="BI5">
        <v>1</v>
      </c>
      <c r="BJ5">
        <v>1</v>
      </c>
      <c r="BK5"/>
      <c r="BL5">
        <v>324680.8</v>
      </c>
      <c r="BM5">
        <v>324680.8</v>
      </c>
      <c r="BN5">
        <v>324680.8</v>
      </c>
      <c r="BO5">
        <v>324680.8</v>
      </c>
      <c r="BP5">
        <v>324680.8</v>
      </c>
      <c r="BQ5"/>
      <c r="BR5">
        <v>324680.8</v>
      </c>
      <c r="BS5">
        <v>324680.8</v>
      </c>
      <c r="BU5" t="s">
        <v>115</v>
      </c>
      <c r="BV5">
        <v>324680.8</v>
      </c>
      <c r="BX5">
        <v>7000</v>
      </c>
      <c r="BZ5">
        <v>324680.8</v>
      </c>
      <c r="CA5">
        <v>324680.8</v>
      </c>
      <c r="CB5">
        <v>10</v>
      </c>
      <c r="CC5">
        <v>20</v>
      </c>
      <c r="CD5">
        <v>100000001</v>
      </c>
      <c r="CE5" t="s">
        <v>123</v>
      </c>
    </row>
    <row r="6" spans="1:83" x14ac:dyDescent="0.25">
      <c r="A6" t="s">
        <v>95</v>
      </c>
      <c r="B6">
        <v>12</v>
      </c>
      <c r="C6">
        <v>100000001</v>
      </c>
      <c r="D6">
        <v>1</v>
      </c>
      <c r="E6">
        <v>1</v>
      </c>
      <c r="F6" t="s">
        <v>96</v>
      </c>
      <c r="G6" t="s">
        <v>97</v>
      </c>
      <c r="H6">
        <v>15</v>
      </c>
      <c r="I6">
        <v>163186</v>
      </c>
      <c r="J6">
        <v>38275196</v>
      </c>
      <c r="K6" t="s">
        <v>98</v>
      </c>
      <c r="L6">
        <v>1</v>
      </c>
      <c r="M6" s="3" t="s">
        <v>99</v>
      </c>
      <c r="N6">
        <v>1</v>
      </c>
      <c r="O6">
        <v>2</v>
      </c>
      <c r="P6">
        <v>5</v>
      </c>
      <c r="Q6">
        <v>0</v>
      </c>
      <c r="R6">
        <v>5</v>
      </c>
      <c r="S6" t="s">
        <v>100</v>
      </c>
      <c r="T6" t="s">
        <v>101</v>
      </c>
      <c r="U6" t="s">
        <v>105</v>
      </c>
      <c r="V6" t="str">
        <f t="shared" si="0"/>
        <v>Security 5</v>
      </c>
      <c r="W6" t="s">
        <v>106</v>
      </c>
      <c r="X6" t="s">
        <v>107</v>
      </c>
      <c r="Y6" t="s">
        <v>107</v>
      </c>
      <c r="Z6" t="s">
        <v>107</v>
      </c>
      <c r="AA6" t="s">
        <v>107</v>
      </c>
      <c r="AB6" t="s">
        <v>107</v>
      </c>
      <c r="AC6" t="s">
        <v>96</v>
      </c>
      <c r="AD6" t="s">
        <v>96</v>
      </c>
      <c r="AE6" t="s">
        <v>108</v>
      </c>
      <c r="AF6" t="b">
        <v>0</v>
      </c>
      <c r="AG6" t="s">
        <v>96</v>
      </c>
      <c r="AH6" t="s">
        <v>107</v>
      </c>
      <c r="AI6" t="s">
        <v>109</v>
      </c>
      <c r="AK6">
        <v>1</v>
      </c>
      <c r="AL6">
        <v>0.15</v>
      </c>
      <c r="AM6" t="s">
        <v>111</v>
      </c>
      <c r="AN6" t="s">
        <v>112</v>
      </c>
      <c r="AO6" t="s">
        <v>113</v>
      </c>
      <c r="AP6" s="5">
        <v>1</v>
      </c>
      <c r="AR6" t="s">
        <v>115</v>
      </c>
      <c r="AS6" t="s">
        <v>115</v>
      </c>
      <c r="AU6" t="str">
        <f t="shared" si="1"/>
        <v>USD</v>
      </c>
      <c r="AV6" t="s">
        <v>115</v>
      </c>
      <c r="AW6" t="s">
        <v>115</v>
      </c>
      <c r="AX6" t="s">
        <v>116</v>
      </c>
      <c r="AY6">
        <v>10</v>
      </c>
      <c r="AZ6">
        <v>20</v>
      </c>
      <c r="BA6">
        <v>20</v>
      </c>
      <c r="BB6">
        <v>10</v>
      </c>
      <c r="BC6">
        <v>10</v>
      </c>
      <c r="BD6">
        <v>10</v>
      </c>
      <c r="BE6">
        <v>1</v>
      </c>
      <c r="BF6" t="s">
        <v>118</v>
      </c>
      <c r="BG6" t="s">
        <v>119</v>
      </c>
      <c r="BH6" t="b">
        <v>1</v>
      </c>
      <c r="BI6">
        <v>1</v>
      </c>
      <c r="BJ6">
        <v>1</v>
      </c>
      <c r="BK6"/>
      <c r="BL6">
        <v>4850034.55</v>
      </c>
      <c r="BM6">
        <v>4850034.55</v>
      </c>
      <c r="BN6">
        <v>4850034.55</v>
      </c>
      <c r="BO6">
        <v>4850034.55</v>
      </c>
      <c r="BP6">
        <v>4850034.55</v>
      </c>
      <c r="BQ6"/>
      <c r="BR6">
        <v>4850034.55</v>
      </c>
      <c r="BS6">
        <v>4850034.55</v>
      </c>
      <c r="BU6" t="s">
        <v>115</v>
      </c>
      <c r="BV6">
        <v>4850034.55</v>
      </c>
      <c r="BX6">
        <v>20000</v>
      </c>
      <c r="BZ6">
        <v>4850034.55</v>
      </c>
      <c r="CA6">
        <v>4850034.55</v>
      </c>
      <c r="CB6">
        <v>10</v>
      </c>
      <c r="CC6">
        <v>20</v>
      </c>
      <c r="CD6">
        <v>100000001</v>
      </c>
      <c r="CE6" t="s">
        <v>123</v>
      </c>
    </row>
    <row r="7" spans="1:83" x14ac:dyDescent="0.25">
      <c r="A7" t="s">
        <v>95</v>
      </c>
      <c r="B7">
        <v>12</v>
      </c>
      <c r="C7">
        <v>100000001</v>
      </c>
      <c r="D7">
        <v>1</v>
      </c>
      <c r="E7">
        <v>1</v>
      </c>
      <c r="F7" t="s">
        <v>96</v>
      </c>
      <c r="G7" t="s">
        <v>97</v>
      </c>
      <c r="H7">
        <v>1</v>
      </c>
      <c r="I7">
        <v>163186</v>
      </c>
      <c r="J7">
        <v>91534082</v>
      </c>
      <c r="K7" t="s">
        <v>98</v>
      </c>
      <c r="L7">
        <v>1</v>
      </c>
      <c r="M7" s="3" t="s">
        <v>99</v>
      </c>
      <c r="N7">
        <v>1</v>
      </c>
      <c r="O7">
        <v>2</v>
      </c>
      <c r="P7">
        <v>0</v>
      </c>
      <c r="Q7">
        <v>0</v>
      </c>
      <c r="R7">
        <v>0</v>
      </c>
      <c r="T7" t="s">
        <v>101</v>
      </c>
      <c r="V7" t="str">
        <f t="shared" si="0"/>
        <v>Security 6</v>
      </c>
      <c r="W7" t="s">
        <v>106</v>
      </c>
      <c r="X7" t="s">
        <v>107</v>
      </c>
      <c r="Y7" t="s">
        <v>96</v>
      </c>
      <c r="Z7" t="s">
        <v>107</v>
      </c>
      <c r="AA7" t="s">
        <v>107</v>
      </c>
      <c r="AB7" t="s">
        <v>107</v>
      </c>
      <c r="AC7" t="s">
        <v>96</v>
      </c>
      <c r="AD7" t="s">
        <v>96</v>
      </c>
      <c r="AE7" t="s">
        <v>108</v>
      </c>
      <c r="AF7" t="b">
        <v>0</v>
      </c>
      <c r="AG7" t="s">
        <v>107</v>
      </c>
      <c r="AH7" t="s">
        <v>107</v>
      </c>
      <c r="AI7" t="s">
        <v>109</v>
      </c>
      <c r="AK7">
        <v>1</v>
      </c>
      <c r="AL7">
        <v>1</v>
      </c>
      <c r="AM7" t="s">
        <v>120</v>
      </c>
      <c r="AN7" t="s">
        <v>121</v>
      </c>
      <c r="AO7" t="s">
        <v>113</v>
      </c>
      <c r="AP7" s="5">
        <v>1</v>
      </c>
      <c r="AT7" t="s">
        <v>115</v>
      </c>
      <c r="AU7" t="str">
        <f>IF(OR(AS7="",AS7="null"),AW7,AS7)</f>
        <v>USD</v>
      </c>
      <c r="AV7" t="s">
        <v>115</v>
      </c>
      <c r="AW7" t="s">
        <v>115</v>
      </c>
      <c r="AX7" t="s">
        <v>116</v>
      </c>
      <c r="AY7">
        <v>10</v>
      </c>
      <c r="AZ7">
        <v>20</v>
      </c>
      <c r="BA7">
        <v>20</v>
      </c>
      <c r="BB7">
        <v>10</v>
      </c>
      <c r="BC7">
        <v>10</v>
      </c>
      <c r="BD7">
        <v>10</v>
      </c>
      <c r="BE7">
        <v>1</v>
      </c>
      <c r="BF7" t="s">
        <v>118</v>
      </c>
      <c r="BG7" t="s">
        <v>119</v>
      </c>
      <c r="BH7" t="b">
        <v>1</v>
      </c>
      <c r="BI7">
        <v>0</v>
      </c>
      <c r="BJ7">
        <v>0</v>
      </c>
      <c r="BK7">
        <v>980316320.15999997</v>
      </c>
      <c r="BL7"/>
      <c r="BM7"/>
      <c r="BN7"/>
      <c r="BO7"/>
      <c r="BP7"/>
      <c r="BQ7"/>
      <c r="BR7"/>
      <c r="BS7"/>
      <c r="BT7" t="s">
        <v>115</v>
      </c>
      <c r="BU7" t="s">
        <v>115</v>
      </c>
      <c r="BW7">
        <v>980316320.15999997</v>
      </c>
      <c r="BY7">
        <v>980316320.15999997</v>
      </c>
      <c r="CB7">
        <v>0</v>
      </c>
      <c r="CC7">
        <v>0</v>
      </c>
      <c r="CD7">
        <v>100000001</v>
      </c>
      <c r="CE7" t="s">
        <v>123</v>
      </c>
    </row>
    <row r="8" spans="1:83" x14ac:dyDescent="0.25">
      <c r="A8" t="s">
        <v>95</v>
      </c>
      <c r="B8">
        <v>12</v>
      </c>
      <c r="C8">
        <v>100000001</v>
      </c>
      <c r="D8">
        <v>2</v>
      </c>
      <c r="E8">
        <v>2</v>
      </c>
      <c r="F8" t="s">
        <v>96</v>
      </c>
      <c r="G8" t="s">
        <v>97</v>
      </c>
      <c r="H8">
        <v>15</v>
      </c>
      <c r="I8">
        <v>163186</v>
      </c>
      <c r="J8">
        <v>27195684</v>
      </c>
      <c r="K8" t="s">
        <v>98</v>
      </c>
      <c r="L8">
        <v>2</v>
      </c>
      <c r="M8" s="3" t="s">
        <v>129</v>
      </c>
      <c r="N8">
        <v>1</v>
      </c>
      <c r="O8">
        <v>2</v>
      </c>
      <c r="P8">
        <v>5</v>
      </c>
      <c r="Q8">
        <v>0</v>
      </c>
      <c r="R8">
        <v>5</v>
      </c>
      <c r="S8" t="s">
        <v>100</v>
      </c>
      <c r="T8" t="s">
        <v>101</v>
      </c>
      <c r="U8">
        <v>329183012</v>
      </c>
      <c r="V8" t="str">
        <f t="shared" si="0"/>
        <v>Security 7</v>
      </c>
      <c r="W8" t="s">
        <v>106</v>
      </c>
      <c r="X8" t="s">
        <v>107</v>
      </c>
      <c r="Y8" t="s">
        <v>96</v>
      </c>
      <c r="Z8" t="s">
        <v>107</v>
      </c>
      <c r="AA8" t="s">
        <v>107</v>
      </c>
      <c r="AB8" t="s">
        <v>107</v>
      </c>
      <c r="AC8" t="s">
        <v>96</v>
      </c>
      <c r="AD8" t="s">
        <v>96</v>
      </c>
      <c r="AE8" t="s">
        <v>108</v>
      </c>
      <c r="AF8" t="b">
        <v>0</v>
      </c>
      <c r="AG8" t="s">
        <v>96</v>
      </c>
      <c r="AH8" t="s">
        <v>107</v>
      </c>
      <c r="AI8" t="s">
        <v>109</v>
      </c>
      <c r="AK8">
        <v>1</v>
      </c>
      <c r="AL8">
        <v>0.25</v>
      </c>
      <c r="AM8" t="s">
        <v>111</v>
      </c>
      <c r="AN8" t="s">
        <v>112</v>
      </c>
      <c r="AO8" t="s">
        <v>113</v>
      </c>
      <c r="AP8" s="5">
        <v>1</v>
      </c>
      <c r="AR8" t="s">
        <v>115</v>
      </c>
      <c r="AS8" t="s">
        <v>115</v>
      </c>
      <c r="AU8" t="str">
        <f>IF(OR(AS8="",AS8="null"),AW8,AS8)</f>
        <v>USD</v>
      </c>
      <c r="AV8" t="s">
        <v>115</v>
      </c>
      <c r="AX8" t="s">
        <v>116</v>
      </c>
      <c r="AY8">
        <v>10</v>
      </c>
      <c r="AZ8">
        <v>20</v>
      </c>
      <c r="BA8">
        <v>20</v>
      </c>
      <c r="BB8">
        <v>10</v>
      </c>
      <c r="BC8">
        <v>10</v>
      </c>
      <c r="BD8">
        <v>10</v>
      </c>
      <c r="BE8">
        <v>1</v>
      </c>
      <c r="BF8" t="s">
        <v>118</v>
      </c>
      <c r="BG8" t="s">
        <v>119</v>
      </c>
      <c r="BH8" t="b">
        <v>1</v>
      </c>
      <c r="BI8">
        <v>1</v>
      </c>
      <c r="BJ8">
        <v>1</v>
      </c>
      <c r="BL8" s="7">
        <v>12396987.9</v>
      </c>
      <c r="BM8" s="7">
        <v>12396987.9</v>
      </c>
      <c r="BN8" s="7">
        <v>12396987.9</v>
      </c>
      <c r="BO8" s="7">
        <v>12396987.9</v>
      </c>
      <c r="BP8" s="7">
        <v>12396987.9</v>
      </c>
      <c r="BR8" s="7">
        <v>12396987.9</v>
      </c>
      <c r="BS8" s="7">
        <v>12396987.9</v>
      </c>
      <c r="BU8" t="s">
        <v>115</v>
      </c>
      <c r="BV8" s="7">
        <v>12396987.9</v>
      </c>
      <c r="BW8" s="7"/>
      <c r="BX8">
        <v>50000</v>
      </c>
      <c r="BZ8" s="7">
        <v>12396987.9</v>
      </c>
      <c r="CA8" s="7">
        <v>12396987.9</v>
      </c>
      <c r="CB8">
        <v>10</v>
      </c>
      <c r="CC8">
        <v>20</v>
      </c>
      <c r="CD8">
        <v>100000002</v>
      </c>
      <c r="CE8" t="s">
        <v>125</v>
      </c>
    </row>
    <row r="9" spans="1:83" x14ac:dyDescent="0.25">
      <c r="A9" t="s">
        <v>95</v>
      </c>
      <c r="B9">
        <v>12</v>
      </c>
      <c r="C9">
        <v>100000001</v>
      </c>
      <c r="D9">
        <v>2</v>
      </c>
      <c r="E9">
        <v>2</v>
      </c>
      <c r="F9" t="s">
        <v>96</v>
      </c>
      <c r="G9" t="s">
        <v>97</v>
      </c>
      <c r="H9">
        <v>15</v>
      </c>
      <c r="I9">
        <v>163186</v>
      </c>
      <c r="J9">
        <v>60317825</v>
      </c>
      <c r="K9" t="s">
        <v>98</v>
      </c>
      <c r="L9">
        <v>2</v>
      </c>
      <c r="M9" s="3" t="s">
        <v>129</v>
      </c>
      <c r="N9">
        <v>1</v>
      </c>
      <c r="O9">
        <v>2</v>
      </c>
      <c r="P9">
        <v>5</v>
      </c>
      <c r="Q9">
        <v>0</v>
      </c>
      <c r="R9">
        <v>5</v>
      </c>
      <c r="S9" t="s">
        <v>100</v>
      </c>
      <c r="T9" t="s">
        <v>101</v>
      </c>
      <c r="U9">
        <v>132491244</v>
      </c>
      <c r="V9" t="str">
        <f t="shared" si="0"/>
        <v>Security 8</v>
      </c>
      <c r="W9" t="s">
        <v>106</v>
      </c>
      <c r="X9" t="s">
        <v>107</v>
      </c>
      <c r="Y9" t="s">
        <v>96</v>
      </c>
      <c r="Z9" t="s">
        <v>107</v>
      </c>
      <c r="AA9" t="s">
        <v>107</v>
      </c>
      <c r="AB9" t="s">
        <v>107</v>
      </c>
      <c r="AC9" t="s">
        <v>96</v>
      </c>
      <c r="AD9" t="s">
        <v>96</v>
      </c>
      <c r="AE9" t="s">
        <v>108</v>
      </c>
      <c r="AF9" t="b">
        <v>0</v>
      </c>
      <c r="AG9" t="s">
        <v>96</v>
      </c>
      <c r="AH9" t="s">
        <v>107</v>
      </c>
      <c r="AI9" t="s">
        <v>109</v>
      </c>
      <c r="AK9">
        <v>1</v>
      </c>
      <c r="AL9">
        <v>0.15</v>
      </c>
      <c r="AM9" t="s">
        <v>111</v>
      </c>
      <c r="AN9" t="s">
        <v>112</v>
      </c>
      <c r="AO9" t="s">
        <v>113</v>
      </c>
      <c r="AP9" s="5">
        <v>1</v>
      </c>
      <c r="AR9" t="s">
        <v>115</v>
      </c>
      <c r="AS9" t="s">
        <v>115</v>
      </c>
      <c r="AU9" t="str">
        <f t="shared" ref="AU9:AU12" si="2">IF(OR(AS9="",AS9="null"),AW9,AS9)</f>
        <v>USD</v>
      </c>
      <c r="AV9" t="s">
        <v>115</v>
      </c>
      <c r="AX9" t="s">
        <v>116</v>
      </c>
      <c r="AY9">
        <v>10</v>
      </c>
      <c r="AZ9">
        <v>20</v>
      </c>
      <c r="BA9">
        <v>20</v>
      </c>
      <c r="BB9">
        <v>10</v>
      </c>
      <c r="BC9">
        <v>10</v>
      </c>
      <c r="BD9">
        <v>10</v>
      </c>
      <c r="BE9">
        <v>1</v>
      </c>
      <c r="BF9" t="s">
        <v>118</v>
      </c>
      <c r="BG9" t="s">
        <v>119</v>
      </c>
      <c r="BH9" t="b">
        <v>1</v>
      </c>
      <c r="BI9">
        <v>1</v>
      </c>
      <c r="BJ9">
        <v>1</v>
      </c>
      <c r="BL9" s="7">
        <v>11103288</v>
      </c>
      <c r="BM9" s="7">
        <v>11103288</v>
      </c>
      <c r="BN9" s="7">
        <v>11103288</v>
      </c>
      <c r="BO9" s="7">
        <v>11103288</v>
      </c>
      <c r="BP9" s="7">
        <v>11103288</v>
      </c>
      <c r="BR9" s="7">
        <v>11103288</v>
      </c>
      <c r="BS9" s="7">
        <v>11103288</v>
      </c>
      <c r="BU9" t="s">
        <v>115</v>
      </c>
      <c r="BV9" s="7">
        <v>11103288</v>
      </c>
      <c r="BW9" s="7"/>
      <c r="BX9">
        <v>119912</v>
      </c>
      <c r="BZ9" s="7">
        <v>11103288</v>
      </c>
      <c r="CA9" s="7">
        <v>11103288</v>
      </c>
      <c r="CB9">
        <v>10</v>
      </c>
      <c r="CC9">
        <v>20</v>
      </c>
      <c r="CD9">
        <v>100000002</v>
      </c>
      <c r="CE9" t="s">
        <v>125</v>
      </c>
    </row>
    <row r="10" spans="1:83" x14ac:dyDescent="0.25">
      <c r="A10" t="s">
        <v>95</v>
      </c>
      <c r="B10">
        <v>12</v>
      </c>
      <c r="C10">
        <v>100000001</v>
      </c>
      <c r="D10">
        <v>2</v>
      </c>
      <c r="E10">
        <v>2</v>
      </c>
      <c r="F10" t="s">
        <v>96</v>
      </c>
      <c r="G10" t="s">
        <v>97</v>
      </c>
      <c r="H10">
        <v>15</v>
      </c>
      <c r="I10">
        <v>163186</v>
      </c>
      <c r="J10">
        <v>84051763</v>
      </c>
      <c r="K10" t="s">
        <v>98</v>
      </c>
      <c r="L10">
        <v>2</v>
      </c>
      <c r="M10" s="3" t="s">
        <v>129</v>
      </c>
      <c r="N10">
        <v>1</v>
      </c>
      <c r="O10">
        <v>2</v>
      </c>
      <c r="P10">
        <v>5</v>
      </c>
      <c r="Q10">
        <v>0</v>
      </c>
      <c r="R10">
        <v>5</v>
      </c>
      <c r="S10" t="s">
        <v>100</v>
      </c>
      <c r="T10" t="s">
        <v>101</v>
      </c>
      <c r="U10">
        <v>132895157</v>
      </c>
      <c r="V10" t="str">
        <f t="shared" si="0"/>
        <v>Security 9</v>
      </c>
      <c r="W10" t="s">
        <v>106</v>
      </c>
      <c r="X10" t="s">
        <v>107</v>
      </c>
      <c r="Y10" t="s">
        <v>96</v>
      </c>
      <c r="Z10" t="s">
        <v>107</v>
      </c>
      <c r="AA10" t="s">
        <v>107</v>
      </c>
      <c r="AB10" t="s">
        <v>107</v>
      </c>
      <c r="AC10" t="s">
        <v>96</v>
      </c>
      <c r="AD10" t="s">
        <v>96</v>
      </c>
      <c r="AE10" t="s">
        <v>108</v>
      </c>
      <c r="AF10" t="b">
        <v>0</v>
      </c>
      <c r="AG10" t="s">
        <v>96</v>
      </c>
      <c r="AH10" t="s">
        <v>107</v>
      </c>
      <c r="AI10" t="s">
        <v>109</v>
      </c>
      <c r="AJ10" t="s">
        <v>110</v>
      </c>
      <c r="AK10">
        <v>1</v>
      </c>
      <c r="AL10">
        <v>0.15</v>
      </c>
      <c r="AM10" t="s">
        <v>111</v>
      </c>
      <c r="AN10" t="s">
        <v>112</v>
      </c>
      <c r="AO10" t="s">
        <v>113</v>
      </c>
      <c r="AP10" s="5">
        <v>1</v>
      </c>
      <c r="AR10" t="s">
        <v>115</v>
      </c>
      <c r="AS10" t="s">
        <v>115</v>
      </c>
      <c r="AU10" t="str">
        <f t="shared" si="2"/>
        <v>USD</v>
      </c>
      <c r="AV10" t="s">
        <v>115</v>
      </c>
      <c r="AX10" t="s">
        <v>117</v>
      </c>
      <c r="AY10">
        <v>10</v>
      </c>
      <c r="AZ10">
        <v>20</v>
      </c>
      <c r="BA10">
        <v>20</v>
      </c>
      <c r="BB10">
        <v>10</v>
      </c>
      <c r="BC10">
        <v>10</v>
      </c>
      <c r="BD10">
        <v>10</v>
      </c>
      <c r="BE10">
        <v>1</v>
      </c>
      <c r="BF10" t="s">
        <v>118</v>
      </c>
      <c r="BG10" t="s">
        <v>119</v>
      </c>
      <c r="BH10" t="b">
        <v>1</v>
      </c>
      <c r="BI10">
        <v>1</v>
      </c>
      <c r="BJ10">
        <v>1</v>
      </c>
      <c r="BK10" s="7">
        <v>15094847.359999999</v>
      </c>
      <c r="BQ10" s="7">
        <v>15094847.359999999</v>
      </c>
      <c r="BT10" t="s">
        <v>115</v>
      </c>
      <c r="BV10" s="7"/>
      <c r="BW10" s="7">
        <v>15094847.359999999</v>
      </c>
      <c r="BX10">
        <v>129819</v>
      </c>
      <c r="BZ10" s="7">
        <v>15094847.359999999</v>
      </c>
      <c r="CA10" s="7">
        <v>15094847.359999999</v>
      </c>
      <c r="CB10">
        <v>10</v>
      </c>
      <c r="CC10">
        <v>20</v>
      </c>
      <c r="CD10">
        <v>100000002</v>
      </c>
      <c r="CE10" t="s">
        <v>125</v>
      </c>
    </row>
    <row r="11" spans="1:83" x14ac:dyDescent="0.25">
      <c r="A11" t="s">
        <v>95</v>
      </c>
      <c r="B11">
        <v>12</v>
      </c>
      <c r="C11">
        <v>100000001</v>
      </c>
      <c r="D11">
        <v>2</v>
      </c>
      <c r="E11">
        <v>2</v>
      </c>
      <c r="F11" t="s">
        <v>96</v>
      </c>
      <c r="G11" t="s">
        <v>97</v>
      </c>
      <c r="H11">
        <v>15</v>
      </c>
      <c r="I11">
        <v>163186</v>
      </c>
      <c r="J11">
        <v>35946217</v>
      </c>
      <c r="K11" t="s">
        <v>98</v>
      </c>
      <c r="L11">
        <v>2</v>
      </c>
      <c r="M11" s="3" t="s">
        <v>129</v>
      </c>
      <c r="N11">
        <v>1</v>
      </c>
      <c r="O11">
        <v>2</v>
      </c>
      <c r="P11">
        <v>5</v>
      </c>
      <c r="Q11">
        <v>0</v>
      </c>
      <c r="R11">
        <v>5</v>
      </c>
      <c r="S11" t="s">
        <v>100</v>
      </c>
      <c r="T11" t="s">
        <v>101</v>
      </c>
      <c r="U11">
        <v>149719047</v>
      </c>
      <c r="V11" t="str">
        <f t="shared" si="0"/>
        <v>Security 10</v>
      </c>
      <c r="W11" t="s">
        <v>106</v>
      </c>
      <c r="X11" t="s">
        <v>107</v>
      </c>
      <c r="Y11" t="s">
        <v>96</v>
      </c>
      <c r="Z11" t="s">
        <v>107</v>
      </c>
      <c r="AA11" t="s">
        <v>107</v>
      </c>
      <c r="AB11" t="s">
        <v>107</v>
      </c>
      <c r="AC11" t="s">
        <v>96</v>
      </c>
      <c r="AD11" t="s">
        <v>96</v>
      </c>
      <c r="AE11" t="s">
        <v>108</v>
      </c>
      <c r="AF11" t="b">
        <v>0</v>
      </c>
      <c r="AG11" t="s">
        <v>96</v>
      </c>
      <c r="AH11" t="s">
        <v>107</v>
      </c>
      <c r="AI11" t="s">
        <v>109</v>
      </c>
      <c r="AK11">
        <v>1</v>
      </c>
      <c r="AL11">
        <v>0.25</v>
      </c>
      <c r="AM11" t="s">
        <v>111</v>
      </c>
      <c r="AN11" t="s">
        <v>112</v>
      </c>
      <c r="AO11" t="s">
        <v>113</v>
      </c>
      <c r="AP11" s="5">
        <v>1</v>
      </c>
      <c r="AR11" t="s">
        <v>115</v>
      </c>
      <c r="AS11" t="s">
        <v>115</v>
      </c>
      <c r="AU11" t="str">
        <f t="shared" si="2"/>
        <v>USD</v>
      </c>
      <c r="AV11" t="s">
        <v>115</v>
      </c>
      <c r="AX11" t="s">
        <v>117</v>
      </c>
      <c r="AY11">
        <v>10</v>
      </c>
      <c r="AZ11">
        <v>20</v>
      </c>
      <c r="BA11">
        <v>20</v>
      </c>
      <c r="BB11">
        <v>10</v>
      </c>
      <c r="BC11">
        <v>10</v>
      </c>
      <c r="BD11">
        <v>10</v>
      </c>
      <c r="BE11">
        <v>1</v>
      </c>
      <c r="BF11" t="s">
        <v>118</v>
      </c>
      <c r="BG11" t="s">
        <v>119</v>
      </c>
      <c r="BH11" t="b">
        <v>1</v>
      </c>
      <c r="BI11">
        <v>1</v>
      </c>
      <c r="BJ11">
        <v>1</v>
      </c>
      <c r="BK11" s="7">
        <v>5849007.2999999998</v>
      </c>
      <c r="BQ11" s="7">
        <v>5849007.2999999998</v>
      </c>
      <c r="BT11" t="s">
        <v>115</v>
      </c>
      <c r="BV11" s="7"/>
      <c r="BW11" s="7">
        <v>5849007.2999999998</v>
      </c>
      <c r="BX11">
        <v>21124</v>
      </c>
      <c r="BZ11" s="7">
        <v>5849007.2999999998</v>
      </c>
      <c r="CA11" s="7">
        <v>5849007.2999999998</v>
      </c>
      <c r="CB11">
        <v>10</v>
      </c>
      <c r="CC11">
        <v>20</v>
      </c>
      <c r="CD11">
        <v>100000002</v>
      </c>
      <c r="CE11" t="s">
        <v>125</v>
      </c>
    </row>
    <row r="12" spans="1:83" x14ac:dyDescent="0.25">
      <c r="A12" t="s">
        <v>95</v>
      </c>
      <c r="B12">
        <v>12</v>
      </c>
      <c r="C12">
        <v>100000001</v>
      </c>
      <c r="D12">
        <v>2</v>
      </c>
      <c r="E12">
        <v>2</v>
      </c>
      <c r="F12" t="s">
        <v>96</v>
      </c>
      <c r="G12" t="s">
        <v>97</v>
      </c>
      <c r="H12">
        <v>15</v>
      </c>
      <c r="I12">
        <v>163186</v>
      </c>
      <c r="J12">
        <v>74268109</v>
      </c>
      <c r="K12" t="s">
        <v>98</v>
      </c>
      <c r="L12">
        <v>2</v>
      </c>
      <c r="M12" s="3" t="s">
        <v>129</v>
      </c>
      <c r="N12">
        <v>1</v>
      </c>
      <c r="O12">
        <v>2</v>
      </c>
      <c r="P12">
        <v>0</v>
      </c>
      <c r="Q12">
        <v>0</v>
      </c>
      <c r="R12">
        <v>0</v>
      </c>
      <c r="T12" t="s">
        <v>101</v>
      </c>
      <c r="U12" t="s">
        <v>130</v>
      </c>
      <c r="V12" t="str">
        <f t="shared" si="0"/>
        <v>Security 11</v>
      </c>
      <c r="W12" t="s">
        <v>106</v>
      </c>
      <c r="X12" t="s">
        <v>107</v>
      </c>
      <c r="Y12" t="s">
        <v>96</v>
      </c>
      <c r="Z12" t="s">
        <v>107</v>
      </c>
      <c r="AA12" t="s">
        <v>107</v>
      </c>
      <c r="AB12" t="s">
        <v>107</v>
      </c>
      <c r="AC12" t="s">
        <v>96</v>
      </c>
      <c r="AD12" t="s">
        <v>96</v>
      </c>
      <c r="AE12" t="s">
        <v>108</v>
      </c>
      <c r="AF12" t="b">
        <v>0</v>
      </c>
      <c r="AG12" t="s">
        <v>107</v>
      </c>
      <c r="AH12" t="s">
        <v>107</v>
      </c>
      <c r="AI12" t="s">
        <v>109</v>
      </c>
      <c r="AK12">
        <v>1</v>
      </c>
      <c r="AL12">
        <v>0.25</v>
      </c>
      <c r="AM12" t="s">
        <v>111</v>
      </c>
      <c r="AN12" t="s">
        <v>112</v>
      </c>
      <c r="AO12" t="s">
        <v>113</v>
      </c>
      <c r="AP12" s="5">
        <v>1</v>
      </c>
      <c r="AR12" t="s">
        <v>115</v>
      </c>
      <c r="AS12" t="s">
        <v>115</v>
      </c>
      <c r="AU12" t="str">
        <f t="shared" si="2"/>
        <v>USD</v>
      </c>
      <c r="AV12" t="s">
        <v>115</v>
      </c>
      <c r="AX12" t="s">
        <v>116</v>
      </c>
      <c r="AY12">
        <v>10</v>
      </c>
      <c r="AZ12">
        <v>20</v>
      </c>
      <c r="BA12">
        <v>20</v>
      </c>
      <c r="BB12">
        <v>10</v>
      </c>
      <c r="BC12">
        <v>10</v>
      </c>
      <c r="BD12">
        <v>10</v>
      </c>
      <c r="BE12">
        <v>1</v>
      </c>
      <c r="BF12" t="s">
        <v>118</v>
      </c>
      <c r="BG12" t="s">
        <v>119</v>
      </c>
      <c r="BH12" t="b">
        <v>1</v>
      </c>
      <c r="BI12">
        <v>0</v>
      </c>
      <c r="BJ12">
        <v>0</v>
      </c>
      <c r="BL12" s="7">
        <v>791811.3</v>
      </c>
      <c r="BU12" t="s">
        <v>115</v>
      </c>
      <c r="BV12" s="7">
        <v>791811.3</v>
      </c>
      <c r="BW12" s="7"/>
      <c r="BX12">
        <v>15332</v>
      </c>
      <c r="BZ12" s="7">
        <v>791811.3</v>
      </c>
      <c r="CA12" s="7">
        <v>791811.3</v>
      </c>
      <c r="CB12">
        <v>0</v>
      </c>
      <c r="CC12">
        <v>0</v>
      </c>
      <c r="CD12">
        <v>100000002</v>
      </c>
      <c r="CE12" t="s">
        <v>125</v>
      </c>
    </row>
    <row r="13" spans="1:83" x14ac:dyDescent="0.25">
      <c r="A13" t="s">
        <v>95</v>
      </c>
      <c r="B13">
        <v>12</v>
      </c>
      <c r="C13">
        <v>100000001</v>
      </c>
      <c r="D13">
        <v>2</v>
      </c>
      <c r="E13">
        <v>2</v>
      </c>
      <c r="F13" t="s">
        <v>96</v>
      </c>
      <c r="G13" t="s">
        <v>97</v>
      </c>
      <c r="H13">
        <v>15</v>
      </c>
      <c r="I13">
        <v>163186</v>
      </c>
      <c r="J13">
        <v>10835642</v>
      </c>
      <c r="K13" t="s">
        <v>98</v>
      </c>
      <c r="L13">
        <v>2</v>
      </c>
      <c r="M13" s="3" t="s">
        <v>129</v>
      </c>
      <c r="N13">
        <v>1</v>
      </c>
      <c r="O13">
        <v>2</v>
      </c>
      <c r="P13">
        <v>5</v>
      </c>
      <c r="Q13">
        <v>0</v>
      </c>
      <c r="R13">
        <v>5</v>
      </c>
      <c r="S13" t="s">
        <v>100</v>
      </c>
      <c r="T13" t="s">
        <v>101</v>
      </c>
      <c r="U13" t="s">
        <v>131</v>
      </c>
      <c r="V13" t="str">
        <f t="shared" si="0"/>
        <v>Security 12</v>
      </c>
      <c r="W13" t="s">
        <v>106</v>
      </c>
      <c r="X13" t="s">
        <v>107</v>
      </c>
      <c r="Y13" t="s">
        <v>96</v>
      </c>
      <c r="Z13" t="s">
        <v>107</v>
      </c>
      <c r="AA13" t="s">
        <v>107</v>
      </c>
      <c r="AB13" t="s">
        <v>107</v>
      </c>
      <c r="AC13" t="s">
        <v>96</v>
      </c>
      <c r="AD13" t="s">
        <v>96</v>
      </c>
      <c r="AE13" t="s">
        <v>108</v>
      </c>
      <c r="AF13" t="b">
        <v>0</v>
      </c>
      <c r="AG13" t="s">
        <v>96</v>
      </c>
      <c r="AH13" t="s">
        <v>107</v>
      </c>
      <c r="AI13" t="s">
        <v>109</v>
      </c>
      <c r="AK13">
        <v>1</v>
      </c>
      <c r="AL13">
        <v>0.15</v>
      </c>
      <c r="AM13" t="s">
        <v>111</v>
      </c>
      <c r="AN13" t="s">
        <v>112</v>
      </c>
      <c r="AO13" t="s">
        <v>113</v>
      </c>
      <c r="AP13" s="5">
        <v>1</v>
      </c>
      <c r="AR13" t="s">
        <v>115</v>
      </c>
      <c r="AS13" t="s">
        <v>115</v>
      </c>
      <c r="AU13" t="str">
        <f>IF(OR(AS13="",AS13="null"),AW13,AS13)</f>
        <v>USD</v>
      </c>
      <c r="AV13" t="s">
        <v>115</v>
      </c>
      <c r="AX13" t="s">
        <v>117</v>
      </c>
      <c r="AY13">
        <v>10</v>
      </c>
      <c r="AZ13">
        <v>20</v>
      </c>
      <c r="BA13">
        <v>20</v>
      </c>
      <c r="BB13">
        <v>10</v>
      </c>
      <c r="BC13">
        <v>10</v>
      </c>
      <c r="BD13">
        <v>10</v>
      </c>
      <c r="BE13">
        <v>1</v>
      </c>
      <c r="BF13" t="s">
        <v>118</v>
      </c>
      <c r="BG13" t="s">
        <v>119</v>
      </c>
      <c r="BH13" t="b">
        <v>1</v>
      </c>
      <c r="BI13">
        <v>1</v>
      </c>
      <c r="BJ13">
        <v>1</v>
      </c>
      <c r="BK13" s="7">
        <v>3764749</v>
      </c>
      <c r="BQ13" s="7">
        <v>3764749</v>
      </c>
      <c r="BT13" t="s">
        <v>115</v>
      </c>
      <c r="BV13" s="7"/>
      <c r="BW13" s="7">
        <v>3764749</v>
      </c>
      <c r="BX13">
        <v>41242</v>
      </c>
      <c r="BZ13" s="7">
        <v>3764749</v>
      </c>
      <c r="CA13" s="7">
        <v>3764749</v>
      </c>
      <c r="CB13">
        <v>10</v>
      </c>
      <c r="CC13">
        <v>20</v>
      </c>
      <c r="CD13">
        <v>100000002</v>
      </c>
      <c r="CE13" t="s">
        <v>125</v>
      </c>
    </row>
    <row r="14" spans="1:83" x14ac:dyDescent="0.25">
      <c r="A14" t="s">
        <v>95</v>
      </c>
      <c r="B14">
        <v>12</v>
      </c>
      <c r="C14">
        <v>100000001</v>
      </c>
      <c r="D14">
        <v>2</v>
      </c>
      <c r="E14">
        <v>2</v>
      </c>
      <c r="F14" t="s">
        <v>96</v>
      </c>
      <c r="G14" t="s">
        <v>97</v>
      </c>
      <c r="H14">
        <v>15</v>
      </c>
      <c r="I14">
        <v>163186</v>
      </c>
      <c r="J14">
        <v>56721483</v>
      </c>
      <c r="K14" t="s">
        <v>98</v>
      </c>
      <c r="L14">
        <v>2</v>
      </c>
      <c r="M14" s="3" t="s">
        <v>129</v>
      </c>
      <c r="N14">
        <v>1</v>
      </c>
      <c r="O14">
        <v>2</v>
      </c>
      <c r="P14">
        <v>5</v>
      </c>
      <c r="Q14">
        <v>0</v>
      </c>
      <c r="R14">
        <v>5</v>
      </c>
      <c r="S14" t="s">
        <v>100</v>
      </c>
      <c r="T14" t="s">
        <v>101</v>
      </c>
      <c r="U14">
        <v>128391975</v>
      </c>
      <c r="V14" t="str">
        <f t="shared" si="0"/>
        <v>Security 13</v>
      </c>
      <c r="W14" t="s">
        <v>106</v>
      </c>
      <c r="X14" t="s">
        <v>107</v>
      </c>
      <c r="Y14" t="s">
        <v>96</v>
      </c>
      <c r="Z14" t="s">
        <v>107</v>
      </c>
      <c r="AA14" t="s">
        <v>107</v>
      </c>
      <c r="AB14" t="s">
        <v>107</v>
      </c>
      <c r="AC14" t="s">
        <v>96</v>
      </c>
      <c r="AD14" t="s">
        <v>96</v>
      </c>
      <c r="AE14" t="s">
        <v>108</v>
      </c>
      <c r="AF14" t="b">
        <v>0</v>
      </c>
      <c r="AG14" t="s">
        <v>96</v>
      </c>
      <c r="AH14" t="s">
        <v>107</v>
      </c>
      <c r="AI14" t="s">
        <v>109</v>
      </c>
      <c r="AK14">
        <v>1</v>
      </c>
      <c r="AL14">
        <v>0.15</v>
      </c>
      <c r="AM14" t="s">
        <v>111</v>
      </c>
      <c r="AN14" t="s">
        <v>112</v>
      </c>
      <c r="AO14" t="s">
        <v>113</v>
      </c>
      <c r="AP14" s="5">
        <v>1</v>
      </c>
      <c r="AR14" t="s">
        <v>132</v>
      </c>
      <c r="AS14" t="s">
        <v>132</v>
      </c>
      <c r="AU14" t="str">
        <f>IF(OR(AS14="",AS14="null"),AW14,AS14)</f>
        <v>CAD</v>
      </c>
      <c r="AV14" t="s">
        <v>115</v>
      </c>
      <c r="AX14" t="s">
        <v>117</v>
      </c>
      <c r="AY14">
        <v>10</v>
      </c>
      <c r="AZ14">
        <v>20</v>
      </c>
      <c r="BA14">
        <v>20</v>
      </c>
      <c r="BB14">
        <v>10</v>
      </c>
      <c r="BC14">
        <v>10</v>
      </c>
      <c r="BD14">
        <v>10</v>
      </c>
      <c r="BE14">
        <v>1</v>
      </c>
      <c r="BF14" t="s">
        <v>118</v>
      </c>
      <c r="BG14" t="s">
        <v>119</v>
      </c>
      <c r="BH14" t="b">
        <v>1</v>
      </c>
      <c r="BI14">
        <v>1</v>
      </c>
      <c r="BJ14">
        <v>1</v>
      </c>
      <c r="BK14" s="7">
        <v>22813134.66</v>
      </c>
      <c r="BQ14" s="7">
        <v>22813134.66</v>
      </c>
      <c r="BT14" t="s">
        <v>132</v>
      </c>
      <c r="BV14" s="7"/>
      <c r="BW14" s="7">
        <v>22813134.66</v>
      </c>
      <c r="BX14">
        <v>219839</v>
      </c>
      <c r="BZ14" s="7">
        <v>22813134.66</v>
      </c>
      <c r="CA14" s="7">
        <v>22813134.66</v>
      </c>
      <c r="CB14">
        <v>10</v>
      </c>
      <c r="CC14">
        <v>20</v>
      </c>
      <c r="CD14">
        <v>100000002</v>
      </c>
      <c r="CE14" t="s">
        <v>125</v>
      </c>
    </row>
    <row r="15" spans="1:83" x14ac:dyDescent="0.25">
      <c r="A15" t="s">
        <v>95</v>
      </c>
      <c r="B15">
        <v>12</v>
      </c>
      <c r="C15">
        <v>100000001</v>
      </c>
      <c r="D15">
        <v>3</v>
      </c>
      <c r="E15">
        <v>3</v>
      </c>
      <c r="F15" t="s">
        <v>96</v>
      </c>
      <c r="G15" t="s">
        <v>97</v>
      </c>
      <c r="H15">
        <v>15</v>
      </c>
      <c r="I15">
        <v>163186</v>
      </c>
      <c r="J15">
        <v>62084915</v>
      </c>
      <c r="K15" t="s">
        <v>98</v>
      </c>
      <c r="L15">
        <v>1</v>
      </c>
      <c r="M15" s="3" t="s">
        <v>99</v>
      </c>
      <c r="N15">
        <v>1</v>
      </c>
      <c r="O15">
        <v>2</v>
      </c>
      <c r="P15">
        <v>5</v>
      </c>
      <c r="Q15">
        <v>0</v>
      </c>
      <c r="R15">
        <v>5</v>
      </c>
      <c r="S15" t="s">
        <v>100</v>
      </c>
      <c r="T15" t="s">
        <v>101</v>
      </c>
      <c r="U15" t="s">
        <v>104</v>
      </c>
      <c r="V15" t="str">
        <f t="shared" si="0"/>
        <v>Security 14</v>
      </c>
      <c r="W15" t="s">
        <v>106</v>
      </c>
      <c r="X15" t="s">
        <v>107</v>
      </c>
      <c r="Y15" t="s">
        <v>107</v>
      </c>
      <c r="Z15" t="s">
        <v>107</v>
      </c>
      <c r="AA15" t="s">
        <v>107</v>
      </c>
      <c r="AB15" t="s">
        <v>107</v>
      </c>
      <c r="AC15" t="s">
        <v>96</v>
      </c>
      <c r="AD15" t="s">
        <v>107</v>
      </c>
      <c r="AE15" t="s">
        <v>108</v>
      </c>
      <c r="AF15" t="b">
        <v>0</v>
      </c>
      <c r="AG15" t="s">
        <v>96</v>
      </c>
      <c r="AH15" t="s">
        <v>107</v>
      </c>
      <c r="AI15" t="s">
        <v>109</v>
      </c>
      <c r="AK15">
        <v>1</v>
      </c>
      <c r="AL15">
        <v>0.25</v>
      </c>
      <c r="AM15" t="s">
        <v>111</v>
      </c>
      <c r="AN15" t="s">
        <v>112</v>
      </c>
      <c r="AO15" t="s">
        <v>113</v>
      </c>
      <c r="AP15" s="5">
        <v>1</v>
      </c>
      <c r="AR15" t="s">
        <v>115</v>
      </c>
      <c r="AS15" t="s">
        <v>115</v>
      </c>
      <c r="AU15" t="str">
        <f t="shared" ref="AU15:AU18" si="3">IF(OR(AS15="",AS15="null"),AW15,AS15)</f>
        <v>USD</v>
      </c>
      <c r="AV15" t="s">
        <v>115</v>
      </c>
      <c r="AW15" t="s">
        <v>115</v>
      </c>
      <c r="AX15" t="s">
        <v>117</v>
      </c>
      <c r="AY15">
        <v>20</v>
      </c>
      <c r="AZ15">
        <v>20</v>
      </c>
      <c r="BA15">
        <v>20</v>
      </c>
      <c r="BB15">
        <v>10</v>
      </c>
      <c r="BC15">
        <v>10</v>
      </c>
      <c r="BD15">
        <v>20</v>
      </c>
      <c r="BE15">
        <v>1</v>
      </c>
      <c r="BF15" t="s">
        <v>118</v>
      </c>
      <c r="BG15" t="s">
        <v>134</v>
      </c>
      <c r="BH15" t="b">
        <v>1</v>
      </c>
      <c r="BI15">
        <v>1</v>
      </c>
      <c r="BJ15">
        <v>1</v>
      </c>
      <c r="BK15" s="7">
        <v>304306.8</v>
      </c>
      <c r="BQ15" s="7">
        <v>304306.8</v>
      </c>
      <c r="BT15" t="s">
        <v>115</v>
      </c>
      <c r="BV15" s="7"/>
      <c r="BW15" s="7">
        <v>304306.8</v>
      </c>
      <c r="BX15">
        <v>12394</v>
      </c>
      <c r="BZ15" s="7">
        <v>304306.8</v>
      </c>
      <c r="CA15" s="7">
        <v>304306.8</v>
      </c>
      <c r="CB15">
        <v>10</v>
      </c>
      <c r="CC15">
        <v>20</v>
      </c>
      <c r="CD15">
        <v>100000003</v>
      </c>
      <c r="CE15" t="s">
        <v>126</v>
      </c>
    </row>
    <row r="16" spans="1:83" x14ac:dyDescent="0.25">
      <c r="A16" t="s">
        <v>95</v>
      </c>
      <c r="B16">
        <v>12</v>
      </c>
      <c r="C16">
        <v>100000001</v>
      </c>
      <c r="D16">
        <v>3</v>
      </c>
      <c r="E16">
        <v>3</v>
      </c>
      <c r="F16" t="s">
        <v>96</v>
      </c>
      <c r="G16" t="s">
        <v>97</v>
      </c>
      <c r="H16">
        <v>15</v>
      </c>
      <c r="I16">
        <v>163186</v>
      </c>
      <c r="J16">
        <v>25319760</v>
      </c>
      <c r="K16" t="s">
        <v>98</v>
      </c>
      <c r="L16">
        <v>1</v>
      </c>
      <c r="M16" s="3" t="s">
        <v>99</v>
      </c>
      <c r="N16">
        <v>1</v>
      </c>
      <c r="O16">
        <v>2</v>
      </c>
      <c r="P16">
        <v>5</v>
      </c>
      <c r="Q16">
        <v>0</v>
      </c>
      <c r="R16">
        <v>5</v>
      </c>
      <c r="S16" t="s">
        <v>100</v>
      </c>
      <c r="T16" t="s">
        <v>101</v>
      </c>
      <c r="U16">
        <v>294382048</v>
      </c>
      <c r="V16" t="str">
        <f t="shared" si="0"/>
        <v>Security 15</v>
      </c>
      <c r="W16" t="s">
        <v>106</v>
      </c>
      <c r="X16" t="s">
        <v>107</v>
      </c>
      <c r="Y16" t="s">
        <v>107</v>
      </c>
      <c r="Z16" t="s">
        <v>107</v>
      </c>
      <c r="AA16" t="s">
        <v>107</v>
      </c>
      <c r="AB16" t="s">
        <v>107</v>
      </c>
      <c r="AC16" t="s">
        <v>96</v>
      </c>
      <c r="AD16" t="s">
        <v>107</v>
      </c>
      <c r="AE16" t="s">
        <v>108</v>
      </c>
      <c r="AF16" t="b">
        <v>0</v>
      </c>
      <c r="AG16" t="s">
        <v>96</v>
      </c>
      <c r="AH16" t="s">
        <v>107</v>
      </c>
      <c r="AI16" t="s">
        <v>109</v>
      </c>
      <c r="AJ16" t="s">
        <v>110</v>
      </c>
      <c r="AK16">
        <v>1</v>
      </c>
      <c r="AL16">
        <v>0.15</v>
      </c>
      <c r="AM16" t="s">
        <v>111</v>
      </c>
      <c r="AN16" t="s">
        <v>112</v>
      </c>
      <c r="AO16" t="s">
        <v>113</v>
      </c>
      <c r="AP16" s="5">
        <v>1</v>
      </c>
      <c r="AR16" t="s">
        <v>133</v>
      </c>
      <c r="AS16" t="s">
        <v>133</v>
      </c>
      <c r="AU16" t="str">
        <f t="shared" si="3"/>
        <v>GBP</v>
      </c>
      <c r="AV16" t="s">
        <v>115</v>
      </c>
      <c r="AW16" t="s">
        <v>115</v>
      </c>
      <c r="AX16" t="s">
        <v>116</v>
      </c>
      <c r="AY16">
        <v>20</v>
      </c>
      <c r="AZ16">
        <v>20</v>
      </c>
      <c r="BA16">
        <v>20</v>
      </c>
      <c r="BB16">
        <v>10</v>
      </c>
      <c r="BC16">
        <v>10</v>
      </c>
      <c r="BD16">
        <v>20</v>
      </c>
      <c r="BE16">
        <v>1</v>
      </c>
      <c r="BF16" t="s">
        <v>118</v>
      </c>
      <c r="BG16" t="s">
        <v>134</v>
      </c>
      <c r="BH16" t="b">
        <v>1</v>
      </c>
      <c r="BI16">
        <v>1</v>
      </c>
      <c r="BJ16">
        <v>1</v>
      </c>
      <c r="BL16" s="7">
        <v>4057479.94</v>
      </c>
      <c r="BM16" s="7">
        <v>4057479.94</v>
      </c>
      <c r="BN16" s="7">
        <v>4057479.94</v>
      </c>
      <c r="BO16" s="7">
        <v>4057479.94</v>
      </c>
      <c r="BP16" s="7">
        <v>4057479.94</v>
      </c>
      <c r="BR16" s="7">
        <v>4057479.94</v>
      </c>
      <c r="BS16" s="7">
        <v>4057479.94</v>
      </c>
      <c r="BU16" t="s">
        <v>133</v>
      </c>
      <c r="BV16" s="7">
        <v>4057479.94</v>
      </c>
      <c r="BW16" s="7"/>
      <c r="BX16">
        <v>141251</v>
      </c>
      <c r="BZ16" s="7">
        <v>4057479.94</v>
      </c>
      <c r="CA16" s="7">
        <v>4057479.94</v>
      </c>
      <c r="CB16">
        <v>10</v>
      </c>
      <c r="CC16">
        <v>20</v>
      </c>
      <c r="CD16">
        <v>100000003</v>
      </c>
      <c r="CE16" t="s">
        <v>126</v>
      </c>
    </row>
    <row r="17" spans="1:83" x14ac:dyDescent="0.25">
      <c r="A17" t="s">
        <v>95</v>
      </c>
      <c r="B17">
        <v>12</v>
      </c>
      <c r="C17">
        <v>100000001</v>
      </c>
      <c r="D17">
        <v>3</v>
      </c>
      <c r="E17">
        <v>3</v>
      </c>
      <c r="F17" t="s">
        <v>96</v>
      </c>
      <c r="G17" t="s">
        <v>97</v>
      </c>
      <c r="H17">
        <v>15</v>
      </c>
      <c r="I17">
        <v>163186</v>
      </c>
      <c r="J17">
        <v>94186207</v>
      </c>
      <c r="K17" t="s">
        <v>98</v>
      </c>
      <c r="L17">
        <v>1</v>
      </c>
      <c r="M17" s="3" t="s">
        <v>99</v>
      </c>
      <c r="N17">
        <v>1</v>
      </c>
      <c r="O17">
        <v>2</v>
      </c>
      <c r="P17">
        <v>5</v>
      </c>
      <c r="Q17">
        <v>0</v>
      </c>
      <c r="R17">
        <v>5</v>
      </c>
      <c r="S17" t="s">
        <v>100</v>
      </c>
      <c r="T17" t="s">
        <v>101</v>
      </c>
      <c r="U17">
        <v>325892398</v>
      </c>
      <c r="V17" t="str">
        <f t="shared" si="0"/>
        <v>Security 16</v>
      </c>
      <c r="W17" t="s">
        <v>106</v>
      </c>
      <c r="X17" t="s">
        <v>107</v>
      </c>
      <c r="Y17" t="s">
        <v>107</v>
      </c>
      <c r="Z17" t="s">
        <v>107</v>
      </c>
      <c r="AA17" t="s">
        <v>107</v>
      </c>
      <c r="AB17" t="s">
        <v>107</v>
      </c>
      <c r="AC17" t="s">
        <v>96</v>
      </c>
      <c r="AD17" t="s">
        <v>107</v>
      </c>
      <c r="AE17" t="s">
        <v>108</v>
      </c>
      <c r="AF17" t="b">
        <v>0</v>
      </c>
      <c r="AG17" t="s">
        <v>96</v>
      </c>
      <c r="AH17" t="s">
        <v>107</v>
      </c>
      <c r="AI17" t="s">
        <v>109</v>
      </c>
      <c r="AK17">
        <v>1</v>
      </c>
      <c r="AL17">
        <v>0.25</v>
      </c>
      <c r="AM17" t="s">
        <v>111</v>
      </c>
      <c r="AN17" t="s">
        <v>112</v>
      </c>
      <c r="AO17" t="s">
        <v>113</v>
      </c>
      <c r="AP17" s="5">
        <v>1</v>
      </c>
      <c r="AR17" t="s">
        <v>115</v>
      </c>
      <c r="AS17" t="s">
        <v>115</v>
      </c>
      <c r="AU17" t="str">
        <f t="shared" si="3"/>
        <v>USD</v>
      </c>
      <c r="AV17" t="s">
        <v>115</v>
      </c>
      <c r="AW17" t="s">
        <v>115</v>
      </c>
      <c r="AX17" t="s">
        <v>117</v>
      </c>
      <c r="AY17">
        <v>20</v>
      </c>
      <c r="AZ17">
        <v>20</v>
      </c>
      <c r="BA17">
        <v>20</v>
      </c>
      <c r="BB17">
        <v>10</v>
      </c>
      <c r="BC17">
        <v>10</v>
      </c>
      <c r="BD17">
        <v>20</v>
      </c>
      <c r="BE17">
        <v>1</v>
      </c>
      <c r="BF17" t="s">
        <v>118</v>
      </c>
      <c r="BG17" t="s">
        <v>134</v>
      </c>
      <c r="BH17" t="b">
        <v>1</v>
      </c>
      <c r="BI17">
        <v>1</v>
      </c>
      <c r="BJ17">
        <v>1</v>
      </c>
      <c r="BK17" s="7">
        <v>81009437.280000001</v>
      </c>
      <c r="BQ17" s="7">
        <v>81009437.280000001</v>
      </c>
      <c r="BT17" t="s">
        <v>115</v>
      </c>
      <c r="BV17" s="7"/>
      <c r="BW17" s="7">
        <v>81009437.280000001</v>
      </c>
      <c r="BX17">
        <v>32321</v>
      </c>
      <c r="BZ17" s="7">
        <v>81009437.280000001</v>
      </c>
      <c r="CA17" s="7">
        <v>81009437.280000001</v>
      </c>
      <c r="CB17">
        <v>10</v>
      </c>
      <c r="CC17">
        <v>20</v>
      </c>
      <c r="CD17">
        <v>100000003</v>
      </c>
      <c r="CE17" t="s">
        <v>126</v>
      </c>
    </row>
    <row r="18" spans="1:83" x14ac:dyDescent="0.25">
      <c r="A18" t="s">
        <v>95</v>
      </c>
      <c r="B18">
        <v>12</v>
      </c>
      <c r="C18">
        <v>100000001</v>
      </c>
      <c r="D18">
        <v>3</v>
      </c>
      <c r="E18">
        <v>3</v>
      </c>
      <c r="F18" t="s">
        <v>96</v>
      </c>
      <c r="G18" t="s">
        <v>97</v>
      </c>
      <c r="H18">
        <v>15</v>
      </c>
      <c r="I18">
        <v>163186</v>
      </c>
      <c r="J18">
        <v>87452013</v>
      </c>
      <c r="K18" t="s">
        <v>98</v>
      </c>
      <c r="L18">
        <v>1</v>
      </c>
      <c r="M18" s="3" t="s">
        <v>99</v>
      </c>
      <c r="N18">
        <v>1</v>
      </c>
      <c r="O18">
        <v>2</v>
      </c>
      <c r="P18">
        <v>5</v>
      </c>
      <c r="Q18">
        <v>0</v>
      </c>
      <c r="R18">
        <v>5</v>
      </c>
      <c r="S18" t="s">
        <v>100</v>
      </c>
      <c r="T18" t="s">
        <v>101</v>
      </c>
      <c r="U18" t="s">
        <v>105</v>
      </c>
      <c r="V18" t="str">
        <f t="shared" si="0"/>
        <v>Security 17</v>
      </c>
      <c r="W18" t="s">
        <v>106</v>
      </c>
      <c r="X18" t="s">
        <v>107</v>
      </c>
      <c r="Y18" t="s">
        <v>107</v>
      </c>
      <c r="Z18" t="s">
        <v>107</v>
      </c>
      <c r="AA18" t="s">
        <v>107</v>
      </c>
      <c r="AB18" t="s">
        <v>107</v>
      </c>
      <c r="AC18" t="s">
        <v>96</v>
      </c>
      <c r="AD18" t="s">
        <v>107</v>
      </c>
      <c r="AE18" t="s">
        <v>108</v>
      </c>
      <c r="AF18" t="b">
        <v>0</v>
      </c>
      <c r="AG18" t="s">
        <v>96</v>
      </c>
      <c r="AH18" t="s">
        <v>107</v>
      </c>
      <c r="AI18" t="s">
        <v>109</v>
      </c>
      <c r="AK18">
        <v>1</v>
      </c>
      <c r="AL18">
        <v>0.15</v>
      </c>
      <c r="AM18" t="s">
        <v>111</v>
      </c>
      <c r="AN18" t="s">
        <v>112</v>
      </c>
      <c r="AO18" t="s">
        <v>113</v>
      </c>
      <c r="AP18" s="5">
        <v>1</v>
      </c>
      <c r="AR18" t="s">
        <v>115</v>
      </c>
      <c r="AS18" t="s">
        <v>115</v>
      </c>
      <c r="AU18" t="str">
        <f t="shared" si="3"/>
        <v>USD</v>
      </c>
      <c r="AV18" t="s">
        <v>115</v>
      </c>
      <c r="AW18" t="s">
        <v>115</v>
      </c>
      <c r="AX18" t="s">
        <v>116</v>
      </c>
      <c r="AY18">
        <v>20</v>
      </c>
      <c r="AZ18">
        <v>20</v>
      </c>
      <c r="BA18">
        <v>20</v>
      </c>
      <c r="BB18">
        <v>10</v>
      </c>
      <c r="BC18">
        <v>10</v>
      </c>
      <c r="BD18">
        <v>20</v>
      </c>
      <c r="BE18">
        <v>1</v>
      </c>
      <c r="BF18" t="s">
        <v>118</v>
      </c>
      <c r="BG18" t="s">
        <v>134</v>
      </c>
      <c r="BH18" t="b">
        <v>1</v>
      </c>
      <c r="BI18">
        <v>1</v>
      </c>
      <c r="BJ18">
        <v>1</v>
      </c>
      <c r="BL18" s="7">
        <v>8924661.7300000004</v>
      </c>
      <c r="BM18" s="7">
        <v>8924661.7300000004</v>
      </c>
      <c r="BN18" s="7">
        <v>8924661.7300000004</v>
      </c>
      <c r="BO18" s="7">
        <v>8924661.7300000004</v>
      </c>
      <c r="BP18" s="7">
        <v>8924661.7300000004</v>
      </c>
      <c r="BR18" s="7">
        <v>8924661.7300000004</v>
      </c>
      <c r="BS18" s="7">
        <v>8924661.7300000004</v>
      </c>
      <c r="BU18" t="s">
        <v>115</v>
      </c>
      <c r="BV18" s="7">
        <v>8924661.7300000004</v>
      </c>
      <c r="BW18" s="7"/>
      <c r="BX18">
        <v>1351</v>
      </c>
      <c r="BZ18" s="7">
        <v>8924661.7300000004</v>
      </c>
      <c r="CA18" s="7">
        <v>8924661.7300000004</v>
      </c>
      <c r="CB18">
        <v>10</v>
      </c>
      <c r="CC18">
        <v>20</v>
      </c>
      <c r="CD18">
        <v>100000003</v>
      </c>
      <c r="CE18" t="s">
        <v>126</v>
      </c>
    </row>
    <row r="19" spans="1:83" x14ac:dyDescent="0.25">
      <c r="A19" t="s">
        <v>95</v>
      </c>
      <c r="B19">
        <v>12</v>
      </c>
      <c r="C19">
        <v>100000001</v>
      </c>
      <c r="D19">
        <v>3</v>
      </c>
      <c r="E19">
        <v>3</v>
      </c>
      <c r="F19" t="s">
        <v>96</v>
      </c>
      <c r="G19" t="s">
        <v>97</v>
      </c>
      <c r="H19">
        <v>1</v>
      </c>
      <c r="I19">
        <v>163186</v>
      </c>
      <c r="J19">
        <v>31860794</v>
      </c>
      <c r="K19" t="s">
        <v>98</v>
      </c>
      <c r="L19">
        <v>1</v>
      </c>
      <c r="M19" s="3" t="s">
        <v>99</v>
      </c>
      <c r="N19">
        <v>1</v>
      </c>
      <c r="O19">
        <v>2</v>
      </c>
      <c r="P19">
        <v>5</v>
      </c>
      <c r="Q19">
        <v>0</v>
      </c>
      <c r="R19">
        <v>5</v>
      </c>
      <c r="S19" t="s">
        <v>100</v>
      </c>
      <c r="T19" t="s">
        <v>101</v>
      </c>
      <c r="V19" t="str">
        <f t="shared" si="0"/>
        <v>Security 18</v>
      </c>
      <c r="W19" t="s">
        <v>106</v>
      </c>
      <c r="X19" t="s">
        <v>107</v>
      </c>
      <c r="Y19" t="s">
        <v>107</v>
      </c>
      <c r="Z19" t="s">
        <v>107</v>
      </c>
      <c r="AA19" t="s">
        <v>107</v>
      </c>
      <c r="AB19" t="s">
        <v>107</v>
      </c>
      <c r="AC19" t="s">
        <v>96</v>
      </c>
      <c r="AD19" t="s">
        <v>107</v>
      </c>
      <c r="AE19" t="s">
        <v>108</v>
      </c>
      <c r="AF19" t="b">
        <v>0</v>
      </c>
      <c r="AG19" t="s">
        <v>96</v>
      </c>
      <c r="AH19" t="s">
        <v>107</v>
      </c>
      <c r="AI19" t="s">
        <v>109</v>
      </c>
      <c r="AK19">
        <v>1</v>
      </c>
      <c r="AL19">
        <v>0.15</v>
      </c>
      <c r="AM19" t="s">
        <v>111</v>
      </c>
      <c r="AN19" t="s">
        <v>112</v>
      </c>
      <c r="AO19" t="s">
        <v>113</v>
      </c>
      <c r="AP19" s="5">
        <v>1</v>
      </c>
      <c r="AR19" t="s">
        <v>115</v>
      </c>
      <c r="AS19" t="s">
        <v>115</v>
      </c>
      <c r="AU19" t="str">
        <f>IF(OR(AS19="",AS19="null"),AW19,AS19)</f>
        <v>USD</v>
      </c>
      <c r="AV19" t="s">
        <v>115</v>
      </c>
      <c r="AW19" t="s">
        <v>115</v>
      </c>
      <c r="AX19" t="s">
        <v>117</v>
      </c>
      <c r="AY19">
        <v>20</v>
      </c>
      <c r="AZ19">
        <v>20</v>
      </c>
      <c r="BA19">
        <v>20</v>
      </c>
      <c r="BB19">
        <v>10</v>
      </c>
      <c r="BC19">
        <v>10</v>
      </c>
      <c r="BD19">
        <v>20</v>
      </c>
      <c r="BE19">
        <v>1</v>
      </c>
      <c r="BF19" t="s">
        <v>118</v>
      </c>
      <c r="BG19" t="s">
        <v>134</v>
      </c>
      <c r="BH19" t="b">
        <v>1</v>
      </c>
      <c r="BI19">
        <v>0</v>
      </c>
      <c r="BJ19">
        <v>0</v>
      </c>
      <c r="BK19" s="7">
        <v>932727.68</v>
      </c>
      <c r="BQ19" s="7">
        <v>932727.68</v>
      </c>
      <c r="BT19" t="s">
        <v>115</v>
      </c>
      <c r="BV19" s="7"/>
      <c r="BW19" s="7">
        <v>932727.68</v>
      </c>
      <c r="BX19">
        <v>1233</v>
      </c>
      <c r="BZ19" s="7">
        <v>932727.68</v>
      </c>
      <c r="CA19" s="7">
        <v>932727.68</v>
      </c>
      <c r="CB19">
        <v>10</v>
      </c>
      <c r="CC19">
        <v>20</v>
      </c>
      <c r="CD19">
        <v>100000003</v>
      </c>
      <c r="CE19" t="s">
        <v>126</v>
      </c>
    </row>
    <row r="20" spans="1:83" x14ac:dyDescent="0.25">
      <c r="A20" t="s">
        <v>95</v>
      </c>
      <c r="B20">
        <v>12</v>
      </c>
      <c r="C20">
        <v>100000001</v>
      </c>
      <c r="D20">
        <v>4</v>
      </c>
      <c r="E20">
        <v>4</v>
      </c>
      <c r="F20" t="s">
        <v>96</v>
      </c>
      <c r="G20" t="s">
        <v>124</v>
      </c>
      <c r="H20">
        <v>1</v>
      </c>
      <c r="I20">
        <v>163186</v>
      </c>
      <c r="J20">
        <v>20517368</v>
      </c>
      <c r="K20" t="s">
        <v>98</v>
      </c>
      <c r="L20">
        <v>1</v>
      </c>
      <c r="M20" s="3" t="s">
        <v>99</v>
      </c>
      <c r="N20">
        <v>1</v>
      </c>
      <c r="O20">
        <v>2</v>
      </c>
      <c r="P20">
        <v>5</v>
      </c>
      <c r="Q20">
        <v>0</v>
      </c>
      <c r="R20">
        <v>5</v>
      </c>
      <c r="S20" t="s">
        <v>100</v>
      </c>
      <c r="T20" t="s">
        <v>101</v>
      </c>
      <c r="U20" t="s">
        <v>103</v>
      </c>
      <c r="V20" t="str">
        <f t="shared" si="0"/>
        <v>Security 19</v>
      </c>
      <c r="W20" t="s">
        <v>106</v>
      </c>
      <c r="X20" t="s">
        <v>107</v>
      </c>
      <c r="Y20" t="s">
        <v>96</v>
      </c>
      <c r="Z20" t="s">
        <v>107</v>
      </c>
      <c r="AA20" t="s">
        <v>107</v>
      </c>
      <c r="AB20" t="s">
        <v>107</v>
      </c>
      <c r="AC20" t="s">
        <v>96</v>
      </c>
      <c r="AD20" t="s">
        <v>96</v>
      </c>
      <c r="AE20" t="s">
        <v>108</v>
      </c>
      <c r="AF20" t="b">
        <v>0</v>
      </c>
      <c r="AG20" t="s">
        <v>96</v>
      </c>
      <c r="AH20" t="s">
        <v>107</v>
      </c>
      <c r="AI20" t="s">
        <v>109</v>
      </c>
      <c r="AK20">
        <v>1</v>
      </c>
      <c r="AL20">
        <v>0.25</v>
      </c>
      <c r="AM20" t="s">
        <v>111</v>
      </c>
      <c r="AN20" t="s">
        <v>112</v>
      </c>
      <c r="AO20" t="s">
        <v>113</v>
      </c>
      <c r="AP20" s="5">
        <v>45839</v>
      </c>
      <c r="AQ20" s="5">
        <v>45839</v>
      </c>
      <c r="AR20" t="s">
        <v>115</v>
      </c>
      <c r="AS20" t="s">
        <v>115</v>
      </c>
      <c r="AT20" t="s">
        <v>115</v>
      </c>
      <c r="AU20" t="str">
        <f>IF(OR(AS20="",AS20="null"),AW20,AS20)</f>
        <v>USD</v>
      </c>
      <c r="AV20" t="s">
        <v>115</v>
      </c>
      <c r="AW20" t="s">
        <v>115</v>
      </c>
      <c r="AX20" t="s">
        <v>116</v>
      </c>
      <c r="AY20">
        <v>5</v>
      </c>
      <c r="AZ20">
        <v>20</v>
      </c>
      <c r="BA20">
        <v>20</v>
      </c>
      <c r="BB20">
        <v>5</v>
      </c>
      <c r="BC20">
        <v>5</v>
      </c>
      <c r="BD20">
        <v>5</v>
      </c>
      <c r="BE20">
        <v>1</v>
      </c>
      <c r="BF20" t="s">
        <v>118</v>
      </c>
      <c r="BG20" t="s">
        <v>119</v>
      </c>
      <c r="BH20" t="b">
        <v>1</v>
      </c>
      <c r="BI20">
        <v>1</v>
      </c>
      <c r="BJ20">
        <v>1</v>
      </c>
      <c r="BK20"/>
      <c r="BL20">
        <v>842383.03949999996</v>
      </c>
      <c r="BM20">
        <v>842383.03949999996</v>
      </c>
      <c r="BN20">
        <v>842383.03949999996</v>
      </c>
      <c r="BO20">
        <v>842383.03949999996</v>
      </c>
      <c r="BP20">
        <v>842383.03949999996</v>
      </c>
      <c r="BQ20"/>
      <c r="BR20">
        <v>842383.03949999996</v>
      </c>
      <c r="BS20">
        <v>842383.03949999996</v>
      </c>
      <c r="BT20" t="s">
        <v>115</v>
      </c>
      <c r="BU20" t="s">
        <v>115</v>
      </c>
      <c r="BV20">
        <v>842383.03949999996</v>
      </c>
      <c r="BX20">
        <v>18000</v>
      </c>
      <c r="BZ20">
        <v>842383.03949999996</v>
      </c>
      <c r="CA20">
        <v>842383.03949999996</v>
      </c>
      <c r="CB20">
        <v>5</v>
      </c>
      <c r="CC20">
        <v>20</v>
      </c>
      <c r="CD20">
        <v>100000004</v>
      </c>
      <c r="CE20" t="s">
        <v>127</v>
      </c>
    </row>
    <row r="21" spans="1:83" x14ac:dyDescent="0.25">
      <c r="A21" t="s">
        <v>95</v>
      </c>
      <c r="B21">
        <v>12</v>
      </c>
      <c r="C21">
        <v>100000001</v>
      </c>
      <c r="D21">
        <v>4</v>
      </c>
      <c r="E21">
        <v>4</v>
      </c>
      <c r="F21" t="s">
        <v>96</v>
      </c>
      <c r="G21" t="s">
        <v>124</v>
      </c>
      <c r="H21">
        <v>1</v>
      </c>
      <c r="I21">
        <v>163186</v>
      </c>
      <c r="J21">
        <v>78630251</v>
      </c>
      <c r="K21" t="s">
        <v>98</v>
      </c>
      <c r="L21">
        <v>1</v>
      </c>
      <c r="M21" s="3" t="s">
        <v>99</v>
      </c>
      <c r="N21">
        <v>1</v>
      </c>
      <c r="O21">
        <v>2</v>
      </c>
      <c r="P21">
        <v>5</v>
      </c>
      <c r="Q21">
        <v>0</v>
      </c>
      <c r="R21">
        <v>5</v>
      </c>
      <c r="S21" t="s">
        <v>100</v>
      </c>
      <c r="T21" t="s">
        <v>101</v>
      </c>
      <c r="U21" t="s">
        <v>104</v>
      </c>
      <c r="V21" t="str">
        <f t="shared" si="0"/>
        <v>Security 20</v>
      </c>
      <c r="W21" t="s">
        <v>106</v>
      </c>
      <c r="X21" t="s">
        <v>107</v>
      </c>
      <c r="Y21" t="s">
        <v>96</v>
      </c>
      <c r="Z21" t="s">
        <v>107</v>
      </c>
      <c r="AA21" t="s">
        <v>107</v>
      </c>
      <c r="AB21" t="s">
        <v>107</v>
      </c>
      <c r="AC21" t="s">
        <v>96</v>
      </c>
      <c r="AD21" t="s">
        <v>96</v>
      </c>
      <c r="AE21" t="s">
        <v>108</v>
      </c>
      <c r="AF21" t="b">
        <v>0</v>
      </c>
      <c r="AG21" t="s">
        <v>96</v>
      </c>
      <c r="AH21" t="s">
        <v>107</v>
      </c>
      <c r="AI21" t="s">
        <v>109</v>
      </c>
      <c r="AK21">
        <v>1</v>
      </c>
      <c r="AL21">
        <v>0.25</v>
      </c>
      <c r="AM21" t="s">
        <v>111</v>
      </c>
      <c r="AN21" t="s">
        <v>112</v>
      </c>
      <c r="AO21" t="s">
        <v>113</v>
      </c>
      <c r="AP21" s="5">
        <v>45839</v>
      </c>
      <c r="AQ21" s="5">
        <v>45839</v>
      </c>
      <c r="AR21" t="s">
        <v>115</v>
      </c>
      <c r="AS21" t="s">
        <v>115</v>
      </c>
      <c r="AT21" t="s">
        <v>115</v>
      </c>
      <c r="AU21" t="str">
        <f t="shared" ref="AU21:AU24" si="4">IF(OR(AS21="",AS21="null"),AW21,AS21)</f>
        <v>USD</v>
      </c>
      <c r="AV21" t="s">
        <v>115</v>
      </c>
      <c r="AW21" t="s">
        <v>115</v>
      </c>
      <c r="AX21" t="s">
        <v>117</v>
      </c>
      <c r="AY21">
        <v>5</v>
      </c>
      <c r="AZ21">
        <v>20</v>
      </c>
      <c r="BA21">
        <v>20</v>
      </c>
      <c r="BB21">
        <v>5</v>
      </c>
      <c r="BC21">
        <v>5</v>
      </c>
      <c r="BD21">
        <v>5</v>
      </c>
      <c r="BE21">
        <v>1</v>
      </c>
      <c r="BF21" t="s">
        <v>118</v>
      </c>
      <c r="BG21" t="s">
        <v>119</v>
      </c>
      <c r="BH21" t="b">
        <v>1</v>
      </c>
      <c r="BI21">
        <v>1</v>
      </c>
      <c r="BJ21">
        <v>1</v>
      </c>
      <c r="BK21">
        <v>8693482.6610000003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8693482.6610000003</v>
      </c>
      <c r="BR21">
        <v>0</v>
      </c>
      <c r="BS21">
        <v>0</v>
      </c>
      <c r="BT21" t="s">
        <v>115</v>
      </c>
      <c r="BU21" t="s">
        <v>115</v>
      </c>
      <c r="BV21">
        <v>0</v>
      </c>
      <c r="BW21">
        <v>8693482.6610000003</v>
      </c>
      <c r="BX21">
        <v>8000</v>
      </c>
      <c r="BZ21">
        <v>8693482.6610000003</v>
      </c>
      <c r="CA21">
        <v>8693482.6610000003</v>
      </c>
      <c r="CB21">
        <v>5</v>
      </c>
      <c r="CC21">
        <v>20</v>
      </c>
      <c r="CD21">
        <v>100000004</v>
      </c>
      <c r="CE21" t="s">
        <v>127</v>
      </c>
    </row>
    <row r="22" spans="1:83" x14ac:dyDescent="0.25">
      <c r="A22" t="s">
        <v>95</v>
      </c>
      <c r="B22">
        <v>12</v>
      </c>
      <c r="C22">
        <v>100000001</v>
      </c>
      <c r="D22">
        <v>4</v>
      </c>
      <c r="E22">
        <v>4</v>
      </c>
      <c r="F22" t="s">
        <v>96</v>
      </c>
      <c r="G22" t="s">
        <v>124</v>
      </c>
      <c r="H22">
        <v>1</v>
      </c>
      <c r="I22">
        <v>163186</v>
      </c>
      <c r="J22">
        <v>45918723</v>
      </c>
      <c r="K22" t="s">
        <v>98</v>
      </c>
      <c r="L22">
        <v>1</v>
      </c>
      <c r="M22" s="3" t="s">
        <v>99</v>
      </c>
      <c r="N22">
        <v>1</v>
      </c>
      <c r="O22">
        <v>2</v>
      </c>
      <c r="P22">
        <v>5</v>
      </c>
      <c r="Q22">
        <v>0</v>
      </c>
      <c r="R22">
        <v>5</v>
      </c>
      <c r="S22" t="s">
        <v>100</v>
      </c>
      <c r="T22" t="s">
        <v>101</v>
      </c>
      <c r="U22">
        <v>294382048</v>
      </c>
      <c r="V22" t="str">
        <f t="shared" si="0"/>
        <v>Security 21</v>
      </c>
      <c r="W22" t="s">
        <v>106</v>
      </c>
      <c r="X22" t="s">
        <v>107</v>
      </c>
      <c r="Y22" t="s">
        <v>96</v>
      </c>
      <c r="Z22" t="s">
        <v>107</v>
      </c>
      <c r="AA22" t="s">
        <v>107</v>
      </c>
      <c r="AB22" t="s">
        <v>107</v>
      </c>
      <c r="AC22" t="s">
        <v>96</v>
      </c>
      <c r="AD22" t="s">
        <v>96</v>
      </c>
      <c r="AE22" t="s">
        <v>108</v>
      </c>
      <c r="AF22" t="b">
        <v>0</v>
      </c>
      <c r="AG22" t="s">
        <v>96</v>
      </c>
      <c r="AH22" t="s">
        <v>107</v>
      </c>
      <c r="AI22" t="s">
        <v>109</v>
      </c>
      <c r="AJ22" t="s">
        <v>110</v>
      </c>
      <c r="AK22">
        <v>1</v>
      </c>
      <c r="AL22">
        <v>0.25</v>
      </c>
      <c r="AM22" t="s">
        <v>111</v>
      </c>
      <c r="AN22" t="s">
        <v>112</v>
      </c>
      <c r="AO22" t="s">
        <v>113</v>
      </c>
      <c r="AP22" s="5">
        <v>45839</v>
      </c>
      <c r="AQ22" s="5">
        <v>45839</v>
      </c>
      <c r="AR22" t="s">
        <v>115</v>
      </c>
      <c r="AS22" t="s">
        <v>115</v>
      </c>
      <c r="AT22" t="s">
        <v>115</v>
      </c>
      <c r="AU22" t="str">
        <f t="shared" si="4"/>
        <v>USD</v>
      </c>
      <c r="AV22" t="s">
        <v>115</v>
      </c>
      <c r="AW22" t="s">
        <v>115</v>
      </c>
      <c r="AX22" t="s">
        <v>116</v>
      </c>
      <c r="AY22">
        <v>5</v>
      </c>
      <c r="AZ22">
        <v>20</v>
      </c>
      <c r="BA22">
        <v>20</v>
      </c>
      <c r="BB22">
        <v>5</v>
      </c>
      <c r="BC22">
        <v>5</v>
      </c>
      <c r="BD22">
        <v>5</v>
      </c>
      <c r="BE22">
        <v>1</v>
      </c>
      <c r="BF22" t="s">
        <v>118</v>
      </c>
      <c r="BG22" t="s">
        <v>119</v>
      </c>
      <c r="BH22" t="b">
        <v>1</v>
      </c>
      <c r="BI22">
        <v>1</v>
      </c>
      <c r="BJ22">
        <v>1</v>
      </c>
      <c r="BK22"/>
      <c r="BL22">
        <v>2316444.551</v>
      </c>
      <c r="BM22">
        <v>2316444.551</v>
      </c>
      <c r="BN22">
        <v>2316444.551</v>
      </c>
      <c r="BO22">
        <v>2316444.551</v>
      </c>
      <c r="BP22">
        <v>2316444.551</v>
      </c>
      <c r="BQ22"/>
      <c r="BR22">
        <v>2316444.551</v>
      </c>
      <c r="BS22">
        <v>2316444.551</v>
      </c>
      <c r="BT22" t="s">
        <v>115</v>
      </c>
      <c r="BU22" t="s">
        <v>115</v>
      </c>
      <c r="BV22">
        <v>2316444.551</v>
      </c>
      <c r="BX22">
        <v>1000</v>
      </c>
      <c r="BZ22">
        <v>2316444.551</v>
      </c>
      <c r="CA22">
        <v>2316444.551</v>
      </c>
      <c r="CB22">
        <v>5</v>
      </c>
      <c r="CC22">
        <v>20</v>
      </c>
      <c r="CD22">
        <v>100000004</v>
      </c>
      <c r="CE22" t="s">
        <v>127</v>
      </c>
    </row>
    <row r="23" spans="1:83" x14ac:dyDescent="0.25">
      <c r="A23" t="s">
        <v>95</v>
      </c>
      <c r="B23">
        <v>12</v>
      </c>
      <c r="C23">
        <v>100000001</v>
      </c>
      <c r="D23">
        <v>4</v>
      </c>
      <c r="E23">
        <v>4</v>
      </c>
      <c r="F23" t="s">
        <v>96</v>
      </c>
      <c r="G23" t="s">
        <v>124</v>
      </c>
      <c r="H23">
        <v>15</v>
      </c>
      <c r="I23">
        <v>163186</v>
      </c>
      <c r="J23">
        <v>98026341</v>
      </c>
      <c r="K23" t="s">
        <v>98</v>
      </c>
      <c r="L23">
        <v>1</v>
      </c>
      <c r="M23" s="3" t="s">
        <v>99</v>
      </c>
      <c r="N23">
        <v>1</v>
      </c>
      <c r="O23">
        <v>2</v>
      </c>
      <c r="P23">
        <v>5</v>
      </c>
      <c r="Q23">
        <v>0</v>
      </c>
      <c r="R23">
        <v>5</v>
      </c>
      <c r="S23" t="s">
        <v>100</v>
      </c>
      <c r="T23" t="s">
        <v>101</v>
      </c>
      <c r="U23" t="s">
        <v>105</v>
      </c>
      <c r="V23" t="str">
        <f t="shared" si="0"/>
        <v>Security 22</v>
      </c>
      <c r="W23" t="s">
        <v>106</v>
      </c>
      <c r="X23" t="s">
        <v>107</v>
      </c>
      <c r="Y23" t="s">
        <v>96</v>
      </c>
      <c r="Z23" t="s">
        <v>107</v>
      </c>
      <c r="AA23" t="s">
        <v>107</v>
      </c>
      <c r="AB23" t="s">
        <v>107</v>
      </c>
      <c r="AC23" t="s">
        <v>96</v>
      </c>
      <c r="AD23" t="s">
        <v>96</v>
      </c>
      <c r="AE23" t="s">
        <v>108</v>
      </c>
      <c r="AF23" t="b">
        <v>0</v>
      </c>
      <c r="AG23" t="s">
        <v>96</v>
      </c>
      <c r="AH23" t="s">
        <v>107</v>
      </c>
      <c r="AI23" t="s">
        <v>109</v>
      </c>
      <c r="AK23">
        <v>1</v>
      </c>
      <c r="AL23">
        <v>0.25</v>
      </c>
      <c r="AM23" t="s">
        <v>111</v>
      </c>
      <c r="AN23" t="s">
        <v>112</v>
      </c>
      <c r="AO23" t="s">
        <v>113</v>
      </c>
      <c r="AP23" s="5">
        <v>45839</v>
      </c>
      <c r="AQ23" s="5">
        <v>45839</v>
      </c>
      <c r="AR23" t="s">
        <v>115</v>
      </c>
      <c r="AS23" t="s">
        <v>115</v>
      </c>
      <c r="AU23" t="str">
        <f t="shared" si="4"/>
        <v>USD</v>
      </c>
      <c r="AV23" t="s">
        <v>115</v>
      </c>
      <c r="AW23" t="s">
        <v>115</v>
      </c>
      <c r="AX23" t="s">
        <v>116</v>
      </c>
      <c r="AY23">
        <v>5</v>
      </c>
      <c r="AZ23">
        <v>20</v>
      </c>
      <c r="BA23">
        <v>20</v>
      </c>
      <c r="BB23">
        <v>5</v>
      </c>
      <c r="BC23">
        <v>5</v>
      </c>
      <c r="BD23">
        <v>5</v>
      </c>
      <c r="BE23">
        <v>1</v>
      </c>
      <c r="BF23" t="s">
        <v>118</v>
      </c>
      <c r="BG23" t="s">
        <v>119</v>
      </c>
      <c r="BH23" t="b">
        <v>1</v>
      </c>
      <c r="BI23">
        <v>1</v>
      </c>
      <c r="BJ23">
        <v>1</v>
      </c>
      <c r="BK23"/>
      <c r="BL23">
        <v>1584495.36</v>
      </c>
      <c r="BM23">
        <v>1584495.36</v>
      </c>
      <c r="BN23">
        <v>1584495.36</v>
      </c>
      <c r="BO23">
        <v>1584495.36</v>
      </c>
      <c r="BP23">
        <v>1584495.36</v>
      </c>
      <c r="BQ23"/>
      <c r="BR23">
        <v>1584495.36</v>
      </c>
      <c r="BS23">
        <v>1584495.36</v>
      </c>
      <c r="BU23" t="s">
        <v>115</v>
      </c>
      <c r="BV23">
        <v>1584495.36</v>
      </c>
      <c r="BX23">
        <v>20000</v>
      </c>
      <c r="BZ23">
        <v>1584495.36</v>
      </c>
      <c r="CA23">
        <v>1584495.36</v>
      </c>
      <c r="CB23">
        <v>5</v>
      </c>
      <c r="CC23">
        <v>20</v>
      </c>
      <c r="CD23">
        <v>100000004</v>
      </c>
      <c r="CE23" t="s">
        <v>127</v>
      </c>
    </row>
    <row r="24" spans="1:83" x14ac:dyDescent="0.25">
      <c r="A24" t="s">
        <v>95</v>
      </c>
      <c r="B24">
        <v>12</v>
      </c>
      <c r="C24">
        <v>100000001</v>
      </c>
      <c r="D24">
        <v>4</v>
      </c>
      <c r="E24">
        <v>4</v>
      </c>
      <c r="F24" t="s">
        <v>96</v>
      </c>
      <c r="G24" t="s">
        <v>124</v>
      </c>
      <c r="H24">
        <v>1</v>
      </c>
      <c r="I24">
        <v>163186</v>
      </c>
      <c r="J24">
        <v>81371583</v>
      </c>
      <c r="K24" t="s">
        <v>98</v>
      </c>
      <c r="L24">
        <v>1</v>
      </c>
      <c r="M24" s="3" t="s">
        <v>99</v>
      </c>
      <c r="N24">
        <v>1</v>
      </c>
      <c r="O24">
        <v>2</v>
      </c>
      <c r="P24">
        <v>5</v>
      </c>
      <c r="Q24">
        <v>0</v>
      </c>
      <c r="R24">
        <v>40</v>
      </c>
      <c r="S24" t="s">
        <v>100</v>
      </c>
      <c r="T24" t="s">
        <v>101</v>
      </c>
      <c r="U24">
        <v>128934523</v>
      </c>
      <c r="V24" t="str">
        <f t="shared" si="0"/>
        <v>Security 23</v>
      </c>
      <c r="W24" t="s">
        <v>106</v>
      </c>
      <c r="X24" t="s">
        <v>107</v>
      </c>
      <c r="Y24" t="s">
        <v>96</v>
      </c>
      <c r="Z24" t="s">
        <v>96</v>
      </c>
      <c r="AA24" t="s">
        <v>107</v>
      </c>
      <c r="AB24" t="s">
        <v>107</v>
      </c>
      <c r="AC24" t="s">
        <v>96</v>
      </c>
      <c r="AD24" t="s">
        <v>96</v>
      </c>
      <c r="AE24" t="s">
        <v>108</v>
      </c>
      <c r="AF24" t="b">
        <v>0</v>
      </c>
      <c r="AG24" t="s">
        <v>96</v>
      </c>
      <c r="AH24" t="s">
        <v>107</v>
      </c>
      <c r="AI24" t="s">
        <v>109</v>
      </c>
      <c r="AK24">
        <v>1</v>
      </c>
      <c r="AL24">
        <v>0.25</v>
      </c>
      <c r="AM24" t="s">
        <v>111</v>
      </c>
      <c r="AN24" t="s">
        <v>112</v>
      </c>
      <c r="AO24" t="s">
        <v>113</v>
      </c>
      <c r="AP24" s="5">
        <v>45839</v>
      </c>
      <c r="AQ24" s="5">
        <v>45839</v>
      </c>
      <c r="AR24" t="s">
        <v>115</v>
      </c>
      <c r="AS24" t="s">
        <v>115</v>
      </c>
      <c r="AT24" t="s">
        <v>115</v>
      </c>
      <c r="AU24" t="str">
        <f t="shared" si="4"/>
        <v>USD</v>
      </c>
      <c r="AV24" t="s">
        <v>115</v>
      </c>
      <c r="AW24" t="s">
        <v>115</v>
      </c>
      <c r="AX24" t="s">
        <v>116</v>
      </c>
      <c r="AY24">
        <v>5</v>
      </c>
      <c r="AZ24">
        <v>20</v>
      </c>
      <c r="BA24">
        <v>20</v>
      </c>
      <c r="BB24">
        <v>5</v>
      </c>
      <c r="BC24">
        <v>5</v>
      </c>
      <c r="BD24">
        <v>5</v>
      </c>
      <c r="BE24">
        <v>1</v>
      </c>
      <c r="BF24" t="s">
        <v>118</v>
      </c>
      <c r="BG24" t="s">
        <v>119</v>
      </c>
      <c r="BH24" t="b">
        <v>1</v>
      </c>
      <c r="BI24">
        <v>0</v>
      </c>
      <c r="BJ24">
        <v>1</v>
      </c>
      <c r="BK24"/>
      <c r="BL24">
        <v>127622.9662</v>
      </c>
      <c r="BM24">
        <v>127622.9662</v>
      </c>
      <c r="BN24">
        <v>127622.9662</v>
      </c>
      <c r="BO24">
        <v>127622.9662</v>
      </c>
      <c r="BP24">
        <v>127622.9662</v>
      </c>
      <c r="BQ24"/>
      <c r="BR24">
        <v>127622.9662</v>
      </c>
      <c r="BS24">
        <v>127622.9662</v>
      </c>
      <c r="BT24" t="s">
        <v>115</v>
      </c>
      <c r="BU24" t="s">
        <v>115</v>
      </c>
      <c r="BV24">
        <v>127622.9662</v>
      </c>
      <c r="BX24">
        <v>20000</v>
      </c>
      <c r="BZ24">
        <v>127622.9662</v>
      </c>
      <c r="CA24">
        <v>127622.9662</v>
      </c>
      <c r="CB24">
        <v>5</v>
      </c>
      <c r="CC24">
        <v>20</v>
      </c>
      <c r="CD24">
        <v>100000004</v>
      </c>
      <c r="CE24" t="s">
        <v>127</v>
      </c>
    </row>
    <row r="25" spans="1:83" x14ac:dyDescent="0.25">
      <c r="A25" t="s">
        <v>95</v>
      </c>
      <c r="B25">
        <v>12</v>
      </c>
      <c r="C25">
        <v>100000005</v>
      </c>
      <c r="D25">
        <v>5</v>
      </c>
      <c r="E25">
        <v>5</v>
      </c>
      <c r="F25" t="s">
        <v>96</v>
      </c>
      <c r="G25" t="s">
        <v>124</v>
      </c>
      <c r="H25">
        <v>1</v>
      </c>
      <c r="I25">
        <v>163186</v>
      </c>
      <c r="J25">
        <v>34185972</v>
      </c>
      <c r="K25" t="s">
        <v>98</v>
      </c>
      <c r="L25">
        <v>1</v>
      </c>
      <c r="M25" s="3" t="s">
        <v>99</v>
      </c>
      <c r="N25">
        <v>1</v>
      </c>
      <c r="O25">
        <v>2</v>
      </c>
      <c r="P25">
        <v>40</v>
      </c>
      <c r="Q25">
        <v>20</v>
      </c>
      <c r="R25">
        <v>40</v>
      </c>
      <c r="S25" t="s">
        <v>135</v>
      </c>
      <c r="T25" t="s">
        <v>101</v>
      </c>
      <c r="U25">
        <v>128949123</v>
      </c>
      <c r="V25" t="str">
        <f t="shared" si="0"/>
        <v>Security 24</v>
      </c>
      <c r="W25" t="s">
        <v>106</v>
      </c>
      <c r="X25" t="s">
        <v>107</v>
      </c>
      <c r="Y25" t="s">
        <v>107</v>
      </c>
      <c r="Z25" t="s">
        <v>96</v>
      </c>
      <c r="AA25" t="s">
        <v>107</v>
      </c>
      <c r="AB25" t="s">
        <v>107</v>
      </c>
      <c r="AC25" t="s">
        <v>96</v>
      </c>
      <c r="AD25" t="s">
        <v>107</v>
      </c>
      <c r="AE25" t="s">
        <v>108</v>
      </c>
      <c r="AF25" t="b">
        <v>0</v>
      </c>
      <c r="AG25" t="s">
        <v>96</v>
      </c>
      <c r="AH25" t="s">
        <v>107</v>
      </c>
      <c r="AI25" t="s">
        <v>109</v>
      </c>
      <c r="AK25">
        <v>1</v>
      </c>
      <c r="AL25">
        <v>0.25</v>
      </c>
      <c r="AM25" t="s">
        <v>120</v>
      </c>
      <c r="AN25" t="s">
        <v>139</v>
      </c>
      <c r="AO25" t="s">
        <v>113</v>
      </c>
      <c r="AP25" s="5">
        <v>47772</v>
      </c>
      <c r="AQ25" s="5">
        <v>47772</v>
      </c>
      <c r="AR25" t="s">
        <v>115</v>
      </c>
      <c r="AS25" t="s">
        <v>115</v>
      </c>
      <c r="AT25" t="s">
        <v>115</v>
      </c>
      <c r="AU25" t="s">
        <v>115</v>
      </c>
      <c r="AV25" t="s">
        <v>115</v>
      </c>
      <c r="AW25" t="s">
        <v>115</v>
      </c>
      <c r="AX25" t="s">
        <v>116</v>
      </c>
      <c r="AY25">
        <v>40</v>
      </c>
      <c r="AZ25">
        <v>20</v>
      </c>
      <c r="BA25">
        <v>20</v>
      </c>
      <c r="BB25">
        <v>5</v>
      </c>
      <c r="BC25">
        <v>5</v>
      </c>
      <c r="BD25">
        <v>40</v>
      </c>
      <c r="BE25">
        <v>1</v>
      </c>
      <c r="BF25" t="s">
        <v>118</v>
      </c>
      <c r="BG25" t="s">
        <v>134</v>
      </c>
      <c r="BH25" t="b">
        <v>1</v>
      </c>
      <c r="BI25">
        <v>0</v>
      </c>
      <c r="BJ25">
        <v>1</v>
      </c>
      <c r="BK25">
        <v>1807645.81</v>
      </c>
      <c r="BL25">
        <v>2093791.94</v>
      </c>
      <c r="BM25">
        <v>2093791.94</v>
      </c>
      <c r="BN25">
        <v>2093791.94</v>
      </c>
      <c r="BO25">
        <v>2093791.94</v>
      </c>
      <c r="BP25">
        <v>2093791.94</v>
      </c>
      <c r="BQ25"/>
      <c r="BR25">
        <v>2093791.94</v>
      </c>
      <c r="BS25">
        <v>0</v>
      </c>
      <c r="BT25" t="s">
        <v>115</v>
      </c>
      <c r="BU25" t="s">
        <v>115</v>
      </c>
      <c r="BV25">
        <v>2093791.94</v>
      </c>
      <c r="BW25">
        <v>1807645.81</v>
      </c>
      <c r="BX25">
        <v>243134</v>
      </c>
      <c r="BY25">
        <v>1807645.81</v>
      </c>
      <c r="BZ25">
        <v>2093791.94</v>
      </c>
      <c r="CA25">
        <v>2093791.94</v>
      </c>
      <c r="CB25">
        <v>5</v>
      </c>
      <c r="CC25">
        <v>40</v>
      </c>
      <c r="CD25">
        <v>100000005</v>
      </c>
      <c r="CE25" t="s">
        <v>128</v>
      </c>
    </row>
    <row r="26" spans="1:83" x14ac:dyDescent="0.25">
      <c r="A26" t="s">
        <v>95</v>
      </c>
      <c r="B26">
        <v>12</v>
      </c>
      <c r="C26">
        <v>100000005</v>
      </c>
      <c r="D26">
        <v>5</v>
      </c>
      <c r="E26">
        <v>5</v>
      </c>
      <c r="F26" t="s">
        <v>96</v>
      </c>
      <c r="G26" t="s">
        <v>124</v>
      </c>
      <c r="H26">
        <v>1</v>
      </c>
      <c r="I26">
        <v>163186</v>
      </c>
      <c r="J26">
        <v>65720439</v>
      </c>
      <c r="K26" t="s">
        <v>98</v>
      </c>
      <c r="L26">
        <v>1</v>
      </c>
      <c r="M26" s="3" t="s">
        <v>99</v>
      </c>
      <c r="N26">
        <v>1</v>
      </c>
      <c r="O26">
        <v>2</v>
      </c>
      <c r="P26">
        <v>40</v>
      </c>
      <c r="Q26">
        <v>20</v>
      </c>
      <c r="R26">
        <v>40</v>
      </c>
      <c r="S26" t="s">
        <v>135</v>
      </c>
      <c r="T26" t="s">
        <v>101</v>
      </c>
      <c r="U26" t="s">
        <v>137</v>
      </c>
      <c r="V26" t="str">
        <f t="shared" si="0"/>
        <v>Security 25</v>
      </c>
      <c r="W26" t="s">
        <v>106</v>
      </c>
      <c r="X26" t="s">
        <v>107</v>
      </c>
      <c r="Y26" t="s">
        <v>107</v>
      </c>
      <c r="Z26" t="s">
        <v>96</v>
      </c>
      <c r="AA26" t="s">
        <v>107</v>
      </c>
      <c r="AB26" t="s">
        <v>107</v>
      </c>
      <c r="AC26" t="s">
        <v>96</v>
      </c>
      <c r="AD26" t="s">
        <v>107</v>
      </c>
      <c r="AE26" t="s">
        <v>108</v>
      </c>
      <c r="AF26" t="b">
        <v>0</v>
      </c>
      <c r="AG26" t="s">
        <v>96</v>
      </c>
      <c r="AH26" t="s">
        <v>107</v>
      </c>
      <c r="AI26" t="s">
        <v>109</v>
      </c>
      <c r="AK26">
        <v>1</v>
      </c>
      <c r="AL26">
        <v>0.25</v>
      </c>
      <c r="AM26" t="s">
        <v>111</v>
      </c>
      <c r="AN26" t="s">
        <v>139</v>
      </c>
      <c r="AO26" t="s">
        <v>113</v>
      </c>
      <c r="AP26" s="5">
        <v>47864</v>
      </c>
      <c r="AQ26" s="5">
        <v>47864</v>
      </c>
      <c r="AR26" t="s">
        <v>115</v>
      </c>
      <c r="AS26" t="s">
        <v>115</v>
      </c>
      <c r="AT26" t="s">
        <v>115</v>
      </c>
      <c r="AU26" t="s">
        <v>115</v>
      </c>
      <c r="AV26" t="s">
        <v>115</v>
      </c>
      <c r="AW26" t="s">
        <v>115</v>
      </c>
      <c r="AX26" t="s">
        <v>116</v>
      </c>
      <c r="AY26">
        <v>40</v>
      </c>
      <c r="AZ26">
        <v>20</v>
      </c>
      <c r="BA26">
        <v>20</v>
      </c>
      <c r="BB26">
        <v>5</v>
      </c>
      <c r="BC26">
        <v>5</v>
      </c>
      <c r="BD26">
        <v>40</v>
      </c>
      <c r="BE26">
        <v>1</v>
      </c>
      <c r="BF26" t="s">
        <v>118</v>
      </c>
      <c r="BG26" t="s">
        <v>134</v>
      </c>
      <c r="BH26" t="b">
        <v>1</v>
      </c>
      <c r="BI26">
        <v>0</v>
      </c>
      <c r="BJ26">
        <v>1</v>
      </c>
      <c r="BK26">
        <v>19151760.59</v>
      </c>
      <c r="BL26">
        <v>17000000</v>
      </c>
      <c r="BM26">
        <v>17000000</v>
      </c>
      <c r="BN26">
        <v>17000000</v>
      </c>
      <c r="BO26">
        <v>17000000</v>
      </c>
      <c r="BP26">
        <v>17000000</v>
      </c>
      <c r="BQ26"/>
      <c r="BR26">
        <v>17000000</v>
      </c>
      <c r="BS26">
        <v>0</v>
      </c>
      <c r="BT26" t="s">
        <v>115</v>
      </c>
      <c r="BU26" t="s">
        <v>115</v>
      </c>
      <c r="BV26">
        <v>17000000</v>
      </c>
      <c r="BW26">
        <v>19151760.59</v>
      </c>
      <c r="BX26">
        <v>18000</v>
      </c>
      <c r="BY26">
        <v>19151760.59</v>
      </c>
      <c r="BZ26">
        <v>17000000</v>
      </c>
      <c r="CA26">
        <v>17000000</v>
      </c>
      <c r="CB26">
        <v>5</v>
      </c>
      <c r="CC26">
        <v>40</v>
      </c>
      <c r="CD26">
        <v>100000005</v>
      </c>
      <c r="CE26" t="s">
        <v>128</v>
      </c>
    </row>
    <row r="27" spans="1:83" x14ac:dyDescent="0.25">
      <c r="A27" t="s">
        <v>95</v>
      </c>
      <c r="B27">
        <v>12</v>
      </c>
      <c r="C27">
        <v>100000005</v>
      </c>
      <c r="D27">
        <v>5</v>
      </c>
      <c r="E27">
        <v>5</v>
      </c>
      <c r="F27" t="s">
        <v>96</v>
      </c>
      <c r="G27" t="s">
        <v>124</v>
      </c>
      <c r="H27">
        <v>1</v>
      </c>
      <c r="I27">
        <v>163186</v>
      </c>
      <c r="J27">
        <v>39684175</v>
      </c>
      <c r="K27" t="s">
        <v>98</v>
      </c>
      <c r="L27">
        <v>1</v>
      </c>
      <c r="M27" s="3" t="s">
        <v>99</v>
      </c>
      <c r="N27">
        <v>1</v>
      </c>
      <c r="O27">
        <v>2</v>
      </c>
      <c r="P27">
        <v>20</v>
      </c>
      <c r="Q27">
        <v>20</v>
      </c>
      <c r="R27">
        <v>20</v>
      </c>
      <c r="S27" t="s">
        <v>136</v>
      </c>
      <c r="T27" t="s">
        <v>101</v>
      </c>
      <c r="U27">
        <v>325892398</v>
      </c>
      <c r="V27" t="str">
        <f t="shared" si="0"/>
        <v>Security 26</v>
      </c>
      <c r="W27" t="s">
        <v>106</v>
      </c>
      <c r="X27" t="s">
        <v>107</v>
      </c>
      <c r="Y27" t="s">
        <v>107</v>
      </c>
      <c r="Z27" t="s">
        <v>96</v>
      </c>
      <c r="AA27" t="s">
        <v>107</v>
      </c>
      <c r="AB27" t="s">
        <v>107</v>
      </c>
      <c r="AC27" t="s">
        <v>96</v>
      </c>
      <c r="AD27" t="s">
        <v>107</v>
      </c>
      <c r="AE27" t="s">
        <v>108</v>
      </c>
      <c r="AF27" t="b">
        <v>0</v>
      </c>
      <c r="AG27" t="s">
        <v>96</v>
      </c>
      <c r="AH27" t="s">
        <v>107</v>
      </c>
      <c r="AI27" t="s">
        <v>109</v>
      </c>
      <c r="AK27">
        <v>1</v>
      </c>
      <c r="AL27">
        <v>0.24</v>
      </c>
      <c r="AM27" t="s">
        <v>111</v>
      </c>
      <c r="AN27" t="s">
        <v>140</v>
      </c>
      <c r="AO27" t="s">
        <v>113</v>
      </c>
      <c r="AP27" s="5">
        <v>11247</v>
      </c>
      <c r="AQ27" s="5">
        <v>11247</v>
      </c>
      <c r="AR27" t="s">
        <v>115</v>
      </c>
      <c r="AS27" t="s">
        <v>115</v>
      </c>
      <c r="AT27" t="s">
        <v>115</v>
      </c>
      <c r="AU27" t="s">
        <v>115</v>
      </c>
      <c r="AV27" t="s">
        <v>115</v>
      </c>
      <c r="AW27" t="s">
        <v>115</v>
      </c>
      <c r="AX27" t="s">
        <v>116</v>
      </c>
      <c r="AY27">
        <v>20</v>
      </c>
      <c r="AZ27">
        <v>20</v>
      </c>
      <c r="BA27">
        <v>20</v>
      </c>
      <c r="BB27">
        <v>5</v>
      </c>
      <c r="BC27">
        <v>5</v>
      </c>
      <c r="BD27">
        <v>20</v>
      </c>
      <c r="BE27">
        <v>1</v>
      </c>
      <c r="BF27" t="s">
        <v>118</v>
      </c>
      <c r="BG27" t="s">
        <v>134</v>
      </c>
      <c r="BH27" t="b">
        <v>1</v>
      </c>
      <c r="BI27">
        <v>0</v>
      </c>
      <c r="BJ27">
        <v>1</v>
      </c>
      <c r="BK27">
        <v>31485709.75</v>
      </c>
      <c r="BL27">
        <v>29468459.190000001</v>
      </c>
      <c r="BM27">
        <v>29468459.190000001</v>
      </c>
      <c r="BN27">
        <v>29468459.190000001</v>
      </c>
      <c r="BO27">
        <v>29468459.190000001</v>
      </c>
      <c r="BP27">
        <v>29468459.190000001</v>
      </c>
      <c r="BQ27"/>
      <c r="BR27">
        <v>29468459.190000001</v>
      </c>
      <c r="BS27">
        <v>0</v>
      </c>
      <c r="BT27" t="s">
        <v>115</v>
      </c>
      <c r="BU27" t="s">
        <v>115</v>
      </c>
      <c r="BV27">
        <v>29468459.190000001</v>
      </c>
      <c r="BW27">
        <v>31485709.75</v>
      </c>
      <c r="BX27">
        <v>7000</v>
      </c>
      <c r="BY27">
        <v>31485709.75</v>
      </c>
      <c r="BZ27">
        <v>29468459.190000001</v>
      </c>
      <c r="CA27">
        <v>29468459.190000001</v>
      </c>
      <c r="CB27">
        <v>5</v>
      </c>
      <c r="CC27">
        <v>20</v>
      </c>
      <c r="CD27">
        <v>100000005</v>
      </c>
      <c r="CE27" t="s">
        <v>128</v>
      </c>
    </row>
    <row r="28" spans="1:83" x14ac:dyDescent="0.25">
      <c r="A28" t="s">
        <v>95</v>
      </c>
      <c r="B28">
        <v>12</v>
      </c>
      <c r="C28">
        <v>100000005</v>
      </c>
      <c r="D28">
        <v>5</v>
      </c>
      <c r="E28">
        <v>5</v>
      </c>
      <c r="F28" t="s">
        <v>96</v>
      </c>
      <c r="G28" t="s">
        <v>124</v>
      </c>
      <c r="H28">
        <v>1</v>
      </c>
      <c r="I28">
        <v>163186</v>
      </c>
      <c r="J28">
        <v>52319084</v>
      </c>
      <c r="K28" t="s">
        <v>98</v>
      </c>
      <c r="L28">
        <v>1</v>
      </c>
      <c r="M28" s="3" t="s">
        <v>99</v>
      </c>
      <c r="N28">
        <v>1</v>
      </c>
      <c r="O28">
        <v>2</v>
      </c>
      <c r="P28">
        <v>20</v>
      </c>
      <c r="Q28">
        <v>5</v>
      </c>
      <c r="R28">
        <v>20</v>
      </c>
      <c r="S28" t="s">
        <v>136</v>
      </c>
      <c r="T28" t="s">
        <v>101</v>
      </c>
      <c r="U28" t="s">
        <v>138</v>
      </c>
      <c r="V28" t="str">
        <f t="shared" si="0"/>
        <v>Security 27</v>
      </c>
      <c r="W28" t="s">
        <v>106</v>
      </c>
      <c r="X28" t="s">
        <v>107</v>
      </c>
      <c r="Y28" t="s">
        <v>107</v>
      </c>
      <c r="Z28" t="s">
        <v>107</v>
      </c>
      <c r="AA28" t="s">
        <v>107</v>
      </c>
      <c r="AB28" t="s">
        <v>107</v>
      </c>
      <c r="AC28" t="s">
        <v>96</v>
      </c>
      <c r="AD28" t="s">
        <v>107</v>
      </c>
      <c r="AE28" t="s">
        <v>108</v>
      </c>
      <c r="AF28" t="b">
        <v>0</v>
      </c>
      <c r="AG28" t="s">
        <v>96</v>
      </c>
      <c r="AH28" t="s">
        <v>107</v>
      </c>
      <c r="AI28" t="s">
        <v>109</v>
      </c>
      <c r="AK28">
        <v>1</v>
      </c>
      <c r="AL28">
        <v>0.24</v>
      </c>
      <c r="AM28" t="s">
        <v>111</v>
      </c>
      <c r="AN28" t="s">
        <v>140</v>
      </c>
      <c r="AO28" t="s">
        <v>113</v>
      </c>
      <c r="AP28" s="5">
        <v>47589</v>
      </c>
      <c r="AQ28" s="5">
        <v>47589</v>
      </c>
      <c r="AR28" t="s">
        <v>115</v>
      </c>
      <c r="AS28" t="s">
        <v>115</v>
      </c>
      <c r="AT28" t="s">
        <v>115</v>
      </c>
      <c r="AU28" t="s">
        <v>115</v>
      </c>
      <c r="AV28" t="s">
        <v>115</v>
      </c>
      <c r="AW28" t="s">
        <v>115</v>
      </c>
      <c r="AX28" t="s">
        <v>117</v>
      </c>
      <c r="AY28">
        <v>20</v>
      </c>
      <c r="AZ28">
        <v>20</v>
      </c>
      <c r="BA28">
        <v>20</v>
      </c>
      <c r="BB28">
        <v>5</v>
      </c>
      <c r="BC28">
        <v>5</v>
      </c>
      <c r="BD28">
        <v>20</v>
      </c>
      <c r="BE28">
        <v>1</v>
      </c>
      <c r="BF28" t="s">
        <v>118</v>
      </c>
      <c r="BG28" t="s">
        <v>134</v>
      </c>
      <c r="BH28" t="b">
        <v>1</v>
      </c>
      <c r="BI28">
        <v>1</v>
      </c>
      <c r="BJ28">
        <v>1</v>
      </c>
      <c r="BK28">
        <v>20885570.18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20885570.18</v>
      </c>
      <c r="BR28">
        <v>0</v>
      </c>
      <c r="BS28">
        <v>0</v>
      </c>
      <c r="BT28" t="s">
        <v>115</v>
      </c>
      <c r="BU28" t="s">
        <v>115</v>
      </c>
      <c r="BV28">
        <v>1</v>
      </c>
      <c r="BW28">
        <v>20885570.18</v>
      </c>
      <c r="BX28">
        <v>20000</v>
      </c>
      <c r="BY28">
        <v>1</v>
      </c>
      <c r="BZ28">
        <v>20885570.18</v>
      </c>
      <c r="CA28">
        <v>20885570.18</v>
      </c>
      <c r="CB28">
        <v>5</v>
      </c>
      <c r="CC28">
        <v>20</v>
      </c>
      <c r="CD28">
        <v>100000005</v>
      </c>
      <c r="CE28" t="s">
        <v>128</v>
      </c>
    </row>
    <row r="29" spans="1:83" x14ac:dyDescent="0.25">
      <c r="A29" t="s">
        <v>95</v>
      </c>
      <c r="B29">
        <v>12</v>
      </c>
      <c r="C29">
        <v>100000005</v>
      </c>
      <c r="D29">
        <v>5</v>
      </c>
      <c r="E29">
        <v>5</v>
      </c>
      <c r="F29" t="s">
        <v>96</v>
      </c>
      <c r="G29" t="s">
        <v>124</v>
      </c>
      <c r="H29">
        <v>1</v>
      </c>
      <c r="I29">
        <v>163186</v>
      </c>
      <c r="J29">
        <v>76921530</v>
      </c>
      <c r="K29" t="s">
        <v>98</v>
      </c>
      <c r="L29">
        <v>1</v>
      </c>
      <c r="M29" s="3" t="s">
        <v>99</v>
      </c>
      <c r="N29">
        <v>1</v>
      </c>
      <c r="O29">
        <v>2</v>
      </c>
      <c r="P29">
        <v>20</v>
      </c>
      <c r="Q29">
        <v>20</v>
      </c>
      <c r="R29">
        <v>20</v>
      </c>
      <c r="S29" t="s">
        <v>136</v>
      </c>
      <c r="T29" t="s">
        <v>101</v>
      </c>
      <c r="U29">
        <v>162329422</v>
      </c>
      <c r="V29" t="str">
        <f t="shared" si="0"/>
        <v>Security 28</v>
      </c>
      <c r="W29" t="s">
        <v>106</v>
      </c>
      <c r="X29" t="s">
        <v>107</v>
      </c>
      <c r="Y29" t="s">
        <v>107</v>
      </c>
      <c r="Z29" t="s">
        <v>107</v>
      </c>
      <c r="AA29" t="s">
        <v>107</v>
      </c>
      <c r="AB29" t="s">
        <v>107</v>
      </c>
      <c r="AC29" t="s">
        <v>96</v>
      </c>
      <c r="AD29" t="s">
        <v>107</v>
      </c>
      <c r="AE29" t="s">
        <v>108</v>
      </c>
      <c r="AF29" t="b">
        <v>0</v>
      </c>
      <c r="AG29" t="s">
        <v>96</v>
      </c>
      <c r="AH29" t="s">
        <v>107</v>
      </c>
      <c r="AI29" t="s">
        <v>109</v>
      </c>
      <c r="AK29">
        <v>1</v>
      </c>
      <c r="AL29">
        <v>0.24</v>
      </c>
      <c r="AM29" t="s">
        <v>120</v>
      </c>
      <c r="AN29" t="s">
        <v>140</v>
      </c>
      <c r="AO29" t="s">
        <v>113</v>
      </c>
      <c r="AP29" s="5">
        <v>47589</v>
      </c>
      <c r="AQ29" s="5">
        <v>47589</v>
      </c>
      <c r="AR29" t="s">
        <v>115</v>
      </c>
      <c r="AS29" t="s">
        <v>115</v>
      </c>
      <c r="AT29" t="s">
        <v>115</v>
      </c>
      <c r="AU29" t="s">
        <v>115</v>
      </c>
      <c r="AV29" t="s">
        <v>115</v>
      </c>
      <c r="AW29" t="s">
        <v>115</v>
      </c>
      <c r="AX29" t="s">
        <v>117</v>
      </c>
      <c r="AY29">
        <v>20</v>
      </c>
      <c r="AZ29">
        <v>20</v>
      </c>
      <c r="BA29">
        <v>20</v>
      </c>
      <c r="BB29">
        <v>5</v>
      </c>
      <c r="BC29">
        <v>5</v>
      </c>
      <c r="BD29">
        <v>20</v>
      </c>
      <c r="BE29">
        <v>1</v>
      </c>
      <c r="BF29" t="s">
        <v>118</v>
      </c>
      <c r="BG29" t="s">
        <v>134</v>
      </c>
      <c r="BH29" t="b">
        <v>1</v>
      </c>
      <c r="BI29">
        <v>1</v>
      </c>
      <c r="BJ29">
        <v>1</v>
      </c>
      <c r="BK29">
        <v>2001800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2001800</v>
      </c>
      <c r="BR29">
        <v>0</v>
      </c>
      <c r="BS29">
        <v>0</v>
      </c>
      <c r="BT29" t="s">
        <v>115</v>
      </c>
      <c r="BU29" t="s">
        <v>115</v>
      </c>
      <c r="BV29">
        <v>1</v>
      </c>
      <c r="BW29">
        <v>2001800</v>
      </c>
      <c r="BX29">
        <v>12341</v>
      </c>
      <c r="BY29">
        <v>1</v>
      </c>
      <c r="BZ29">
        <v>2001800</v>
      </c>
      <c r="CA29">
        <v>2001800</v>
      </c>
      <c r="CB29">
        <v>5</v>
      </c>
      <c r="CC29">
        <v>20</v>
      </c>
      <c r="CD29">
        <v>100000005</v>
      </c>
      <c r="CE29" t="s">
        <v>128</v>
      </c>
    </row>
    <row r="30" spans="1:83" x14ac:dyDescent="0.25">
      <c r="A30" t="s">
        <v>95</v>
      </c>
      <c r="B30">
        <v>12</v>
      </c>
      <c r="C30">
        <v>100000001</v>
      </c>
      <c r="D30">
        <v>6</v>
      </c>
      <c r="E30">
        <v>6</v>
      </c>
      <c r="F30" t="s">
        <v>96</v>
      </c>
      <c r="G30" t="s">
        <v>124</v>
      </c>
      <c r="H30">
        <v>1</v>
      </c>
      <c r="I30">
        <v>163186</v>
      </c>
      <c r="J30">
        <v>63057489</v>
      </c>
      <c r="K30" t="s">
        <v>98</v>
      </c>
      <c r="L30">
        <v>1</v>
      </c>
      <c r="M30" s="3" t="s">
        <v>99</v>
      </c>
      <c r="N30">
        <v>1</v>
      </c>
      <c r="O30">
        <v>2</v>
      </c>
      <c r="P30">
        <v>5</v>
      </c>
      <c r="Q30">
        <v>0</v>
      </c>
      <c r="R30">
        <v>5</v>
      </c>
      <c r="S30" t="s">
        <v>100</v>
      </c>
      <c r="T30" t="s">
        <v>101</v>
      </c>
      <c r="U30">
        <v>43291048</v>
      </c>
      <c r="V30" t="str">
        <f t="shared" si="0"/>
        <v>Security 29</v>
      </c>
      <c r="W30" t="s">
        <v>106</v>
      </c>
      <c r="X30" t="s">
        <v>107</v>
      </c>
      <c r="Y30" t="s">
        <v>96</v>
      </c>
      <c r="Z30" t="s">
        <v>107</v>
      </c>
      <c r="AA30" t="s">
        <v>107</v>
      </c>
      <c r="AB30" t="s">
        <v>107</v>
      </c>
      <c r="AC30" t="s">
        <v>96</v>
      </c>
      <c r="AD30" t="s">
        <v>96</v>
      </c>
      <c r="AE30" t="s">
        <v>108</v>
      </c>
      <c r="AF30" t="b">
        <v>0</v>
      </c>
      <c r="AG30" t="s">
        <v>96</v>
      </c>
      <c r="AH30" t="s">
        <v>107</v>
      </c>
      <c r="AI30" t="s">
        <v>109</v>
      </c>
      <c r="AK30">
        <v>1</v>
      </c>
      <c r="AL30">
        <v>0.15</v>
      </c>
      <c r="AM30" t="s">
        <v>111</v>
      </c>
      <c r="AN30" t="s">
        <v>112</v>
      </c>
      <c r="AO30" t="s">
        <v>113</v>
      </c>
      <c r="AP30" s="5">
        <v>45839</v>
      </c>
      <c r="AQ30" s="5">
        <v>45839</v>
      </c>
      <c r="AR30" t="s">
        <v>115</v>
      </c>
      <c r="AS30" t="s">
        <v>115</v>
      </c>
      <c r="AT30" t="s">
        <v>115</v>
      </c>
      <c r="AU30" t="s">
        <v>115</v>
      </c>
      <c r="AV30" t="s">
        <v>115</v>
      </c>
      <c r="AW30" t="s">
        <v>115</v>
      </c>
      <c r="AX30" t="s">
        <v>116</v>
      </c>
      <c r="AY30">
        <v>5</v>
      </c>
      <c r="AZ30">
        <v>20</v>
      </c>
      <c r="BA30">
        <v>20</v>
      </c>
      <c r="BB30">
        <v>5</v>
      </c>
      <c r="BC30">
        <v>5</v>
      </c>
      <c r="BD30">
        <v>5</v>
      </c>
      <c r="BE30">
        <v>1</v>
      </c>
      <c r="BF30" t="s">
        <v>118</v>
      </c>
      <c r="BG30" t="s">
        <v>119</v>
      </c>
      <c r="BH30" t="b">
        <v>1</v>
      </c>
      <c r="BI30">
        <v>1</v>
      </c>
      <c r="BJ30">
        <v>1</v>
      </c>
      <c r="BK30">
        <v>0</v>
      </c>
      <c r="BL30">
        <v>770909</v>
      </c>
      <c r="BM30">
        <v>770909</v>
      </c>
      <c r="BN30">
        <v>770909</v>
      </c>
      <c r="BO30">
        <v>770909</v>
      </c>
      <c r="BP30">
        <v>770909</v>
      </c>
      <c r="BQ30">
        <v>0</v>
      </c>
      <c r="BR30">
        <v>770909</v>
      </c>
      <c r="BS30">
        <v>770909</v>
      </c>
      <c r="BT30" t="s">
        <v>115</v>
      </c>
      <c r="BU30" t="s">
        <v>115</v>
      </c>
      <c r="BV30">
        <v>770909</v>
      </c>
      <c r="BW30">
        <v>0</v>
      </c>
      <c r="BX30">
        <v>10000</v>
      </c>
      <c r="BY30">
        <v>0</v>
      </c>
      <c r="BZ30">
        <v>770909</v>
      </c>
      <c r="CA30">
        <v>770909</v>
      </c>
      <c r="CB30">
        <v>5</v>
      </c>
      <c r="CC30">
        <v>20</v>
      </c>
      <c r="CD30">
        <v>100000006</v>
      </c>
      <c r="CE30" t="s">
        <v>141</v>
      </c>
    </row>
    <row r="31" spans="1:83" x14ac:dyDescent="0.25">
      <c r="A31" t="s">
        <v>95</v>
      </c>
      <c r="B31">
        <v>12</v>
      </c>
      <c r="C31">
        <v>100000001</v>
      </c>
      <c r="D31">
        <v>6</v>
      </c>
      <c r="E31">
        <v>6</v>
      </c>
      <c r="F31" t="s">
        <v>96</v>
      </c>
      <c r="G31" t="s">
        <v>124</v>
      </c>
      <c r="H31">
        <v>15</v>
      </c>
      <c r="I31">
        <v>163186</v>
      </c>
      <c r="J31">
        <v>15842976</v>
      </c>
      <c r="K31" t="s">
        <v>98</v>
      </c>
      <c r="L31">
        <v>1</v>
      </c>
      <c r="M31" s="3" t="s">
        <v>99</v>
      </c>
      <c r="N31">
        <v>1</v>
      </c>
      <c r="O31">
        <v>2</v>
      </c>
      <c r="P31">
        <v>5</v>
      </c>
      <c r="Q31">
        <v>0</v>
      </c>
      <c r="R31">
        <v>5</v>
      </c>
      <c r="S31" t="s">
        <v>100</v>
      </c>
      <c r="T31" t="s">
        <v>101</v>
      </c>
      <c r="U31">
        <v>52252344</v>
      </c>
      <c r="V31" t="str">
        <f t="shared" si="0"/>
        <v>Security 30</v>
      </c>
      <c r="W31" t="s">
        <v>106</v>
      </c>
      <c r="X31" t="s">
        <v>107</v>
      </c>
      <c r="Y31" t="s">
        <v>96</v>
      </c>
      <c r="Z31" t="s">
        <v>107</v>
      </c>
      <c r="AA31" t="s">
        <v>107</v>
      </c>
      <c r="AB31" t="s">
        <v>107</v>
      </c>
      <c r="AC31" t="s">
        <v>96</v>
      </c>
      <c r="AD31" t="s">
        <v>96</v>
      </c>
      <c r="AE31" t="s">
        <v>108</v>
      </c>
      <c r="AF31" t="b">
        <v>0</v>
      </c>
      <c r="AG31" t="s">
        <v>96</v>
      </c>
      <c r="AH31" t="s">
        <v>107</v>
      </c>
      <c r="AI31" t="s">
        <v>109</v>
      </c>
      <c r="AK31">
        <v>1</v>
      </c>
      <c r="AL31">
        <v>0.25</v>
      </c>
      <c r="AM31" t="s">
        <v>111</v>
      </c>
      <c r="AN31" t="s">
        <v>112</v>
      </c>
      <c r="AO31" t="s">
        <v>113</v>
      </c>
      <c r="AP31" s="5">
        <v>45839</v>
      </c>
      <c r="AQ31" s="5">
        <v>45839</v>
      </c>
      <c r="AR31" t="s">
        <v>115</v>
      </c>
      <c r="AS31" t="s">
        <v>115</v>
      </c>
      <c r="AT31" t="s">
        <v>115</v>
      </c>
      <c r="AV31" t="s">
        <v>115</v>
      </c>
      <c r="AW31" t="s">
        <v>115</v>
      </c>
      <c r="AX31" t="s">
        <v>117</v>
      </c>
      <c r="AY31">
        <v>5</v>
      </c>
      <c r="AZ31">
        <v>20</v>
      </c>
      <c r="BA31">
        <v>20</v>
      </c>
      <c r="BB31">
        <v>5</v>
      </c>
      <c r="BC31">
        <v>5</v>
      </c>
      <c r="BD31">
        <v>5</v>
      </c>
      <c r="BE31">
        <v>1</v>
      </c>
      <c r="BF31" t="s">
        <v>118</v>
      </c>
      <c r="BG31" t="s">
        <v>119</v>
      </c>
      <c r="BH31" t="b">
        <v>1</v>
      </c>
      <c r="BI31">
        <v>1</v>
      </c>
      <c r="BJ31">
        <v>1</v>
      </c>
      <c r="BK31">
        <v>4082837</v>
      </c>
      <c r="BL31"/>
      <c r="BM31"/>
      <c r="BN31"/>
      <c r="BO31"/>
      <c r="BP31"/>
      <c r="BQ31">
        <v>4082837</v>
      </c>
      <c r="BR31"/>
      <c r="BS31"/>
      <c r="BT31" t="s">
        <v>115</v>
      </c>
      <c r="BW31">
        <v>4082837</v>
      </c>
      <c r="BX31">
        <v>10000</v>
      </c>
      <c r="BY31">
        <v>0</v>
      </c>
      <c r="BZ31">
        <v>4082837</v>
      </c>
      <c r="CA31">
        <v>4082837</v>
      </c>
      <c r="CB31">
        <v>5</v>
      </c>
      <c r="CC31">
        <v>20</v>
      </c>
      <c r="CD31">
        <v>100000006</v>
      </c>
      <c r="CE31" t="s">
        <v>141</v>
      </c>
    </row>
    <row r="32" spans="1:83" x14ac:dyDescent="0.25">
      <c r="A32" t="s">
        <v>95</v>
      </c>
      <c r="B32">
        <v>12</v>
      </c>
      <c r="C32">
        <v>100000001</v>
      </c>
      <c r="D32">
        <v>6</v>
      </c>
      <c r="E32">
        <v>6</v>
      </c>
      <c r="F32" t="s">
        <v>96</v>
      </c>
      <c r="G32" t="s">
        <v>124</v>
      </c>
      <c r="H32">
        <v>1</v>
      </c>
      <c r="I32">
        <v>163186</v>
      </c>
      <c r="J32">
        <v>29753014</v>
      </c>
      <c r="K32" t="s">
        <v>98</v>
      </c>
      <c r="L32">
        <v>1</v>
      </c>
      <c r="M32" s="3" t="s">
        <v>99</v>
      </c>
      <c r="N32">
        <v>1</v>
      </c>
      <c r="O32">
        <v>2</v>
      </c>
      <c r="P32">
        <v>5</v>
      </c>
      <c r="Q32">
        <v>0</v>
      </c>
      <c r="R32">
        <v>5</v>
      </c>
      <c r="S32" t="s">
        <v>100</v>
      </c>
      <c r="T32" t="s">
        <v>101</v>
      </c>
      <c r="U32">
        <v>24352523</v>
      </c>
      <c r="V32" t="str">
        <f t="shared" si="0"/>
        <v>Security 31</v>
      </c>
      <c r="W32" t="s">
        <v>106</v>
      </c>
      <c r="X32" t="s">
        <v>107</v>
      </c>
      <c r="Y32" t="s">
        <v>96</v>
      </c>
      <c r="Z32" t="s">
        <v>107</v>
      </c>
      <c r="AA32" t="s">
        <v>107</v>
      </c>
      <c r="AB32" t="s">
        <v>107</v>
      </c>
      <c r="AC32" t="s">
        <v>96</v>
      </c>
      <c r="AD32" t="s">
        <v>96</v>
      </c>
      <c r="AE32" t="s">
        <v>108</v>
      </c>
      <c r="AF32" t="b">
        <v>0</v>
      </c>
      <c r="AG32" t="s">
        <v>96</v>
      </c>
      <c r="AH32" t="s">
        <v>107</v>
      </c>
      <c r="AI32" t="s">
        <v>109</v>
      </c>
      <c r="AK32">
        <v>1</v>
      </c>
      <c r="AL32">
        <v>0.25</v>
      </c>
      <c r="AM32" t="s">
        <v>111</v>
      </c>
      <c r="AN32" t="s">
        <v>112</v>
      </c>
      <c r="AO32" t="s">
        <v>113</v>
      </c>
      <c r="AP32" s="5">
        <v>45839</v>
      </c>
      <c r="AQ32" s="5">
        <v>45839</v>
      </c>
      <c r="AR32" t="s">
        <v>115</v>
      </c>
      <c r="AS32" t="s">
        <v>115</v>
      </c>
      <c r="AT32" t="s">
        <v>115</v>
      </c>
      <c r="AU32" t="s">
        <v>115</v>
      </c>
      <c r="AV32" t="s">
        <v>115</v>
      </c>
      <c r="AW32" t="s">
        <v>115</v>
      </c>
      <c r="AX32" t="s">
        <v>117</v>
      </c>
      <c r="AY32">
        <v>5</v>
      </c>
      <c r="AZ32">
        <v>20</v>
      </c>
      <c r="BA32">
        <v>20</v>
      </c>
      <c r="BB32">
        <v>5</v>
      </c>
      <c r="BC32">
        <v>5</v>
      </c>
      <c r="BD32">
        <v>5</v>
      </c>
      <c r="BE32">
        <v>1</v>
      </c>
      <c r="BF32" t="s">
        <v>118</v>
      </c>
      <c r="BG32" t="s">
        <v>119</v>
      </c>
      <c r="BH32" t="b">
        <v>1</v>
      </c>
      <c r="BI32">
        <v>1</v>
      </c>
      <c r="BJ32">
        <v>1</v>
      </c>
      <c r="BK32">
        <v>1777799</v>
      </c>
      <c r="BL32"/>
      <c r="BM32"/>
      <c r="BN32"/>
      <c r="BO32"/>
      <c r="BP32"/>
      <c r="BQ32">
        <v>1777799</v>
      </c>
      <c r="BR32"/>
      <c r="BS32"/>
      <c r="BT32" t="s">
        <v>115</v>
      </c>
      <c r="BU32" t="s">
        <v>115</v>
      </c>
      <c r="BW32">
        <v>1777799</v>
      </c>
      <c r="BX32">
        <v>10000</v>
      </c>
      <c r="BY32">
        <v>0</v>
      </c>
      <c r="BZ32">
        <v>1777799</v>
      </c>
      <c r="CA32">
        <v>1777799</v>
      </c>
      <c r="CB32">
        <v>5</v>
      </c>
      <c r="CC32">
        <v>20</v>
      </c>
      <c r="CD32">
        <v>100000006</v>
      </c>
      <c r="CE32" t="s">
        <v>141</v>
      </c>
    </row>
    <row r="33" spans="1:83" x14ac:dyDescent="0.25">
      <c r="A33" t="s">
        <v>95</v>
      </c>
      <c r="B33">
        <v>12</v>
      </c>
      <c r="C33">
        <v>100000001</v>
      </c>
      <c r="D33">
        <v>7</v>
      </c>
      <c r="E33">
        <v>7</v>
      </c>
      <c r="F33" t="s">
        <v>96</v>
      </c>
      <c r="G33" t="s">
        <v>124</v>
      </c>
      <c r="H33">
        <v>1</v>
      </c>
      <c r="I33">
        <v>163186</v>
      </c>
      <c r="J33">
        <v>84579230</v>
      </c>
      <c r="K33" t="s">
        <v>98</v>
      </c>
      <c r="L33">
        <v>1</v>
      </c>
      <c r="M33" s="3" t="s">
        <v>99</v>
      </c>
      <c r="N33">
        <v>1</v>
      </c>
      <c r="O33">
        <v>2</v>
      </c>
      <c r="P33">
        <v>40</v>
      </c>
      <c r="Q33">
        <v>20</v>
      </c>
      <c r="R33">
        <v>40</v>
      </c>
      <c r="S33" t="s">
        <v>135</v>
      </c>
      <c r="T33" t="s">
        <v>101</v>
      </c>
      <c r="U33">
        <v>129344312</v>
      </c>
      <c r="V33" t="str">
        <f t="shared" si="0"/>
        <v>Security 32</v>
      </c>
      <c r="W33" t="s">
        <v>106</v>
      </c>
      <c r="X33" t="s">
        <v>107</v>
      </c>
      <c r="Y33" t="s">
        <v>107</v>
      </c>
      <c r="Z33" t="s">
        <v>96</v>
      </c>
      <c r="AA33" t="s">
        <v>107</v>
      </c>
      <c r="AB33" t="s">
        <v>107</v>
      </c>
      <c r="AC33" t="s">
        <v>96</v>
      </c>
      <c r="AD33" t="s">
        <v>107</v>
      </c>
      <c r="AE33" t="s">
        <v>108</v>
      </c>
      <c r="AF33" t="b">
        <v>0</v>
      </c>
      <c r="AG33" s="8" t="s">
        <v>107</v>
      </c>
      <c r="AH33" t="s">
        <v>107</v>
      </c>
      <c r="AI33" t="s">
        <v>109</v>
      </c>
      <c r="AK33">
        <v>1</v>
      </c>
      <c r="AL33">
        <v>0.25</v>
      </c>
      <c r="AM33" t="s">
        <v>111</v>
      </c>
      <c r="AN33" t="s">
        <v>143</v>
      </c>
      <c r="AO33" t="s">
        <v>113</v>
      </c>
      <c r="AP33" s="5">
        <v>46139</v>
      </c>
      <c r="AQ33" s="5">
        <v>46139</v>
      </c>
      <c r="AR33" t="s">
        <v>115</v>
      </c>
      <c r="AS33" t="s">
        <v>115</v>
      </c>
      <c r="AT33" t="s">
        <v>115</v>
      </c>
      <c r="AU33" t="s">
        <v>115</v>
      </c>
      <c r="AV33" t="s">
        <v>115</v>
      </c>
      <c r="AW33" t="s">
        <v>115</v>
      </c>
      <c r="AX33" t="s">
        <v>116</v>
      </c>
      <c r="AY33">
        <v>40</v>
      </c>
      <c r="AZ33">
        <v>20</v>
      </c>
      <c r="BA33">
        <v>20</v>
      </c>
      <c r="BB33">
        <v>5</v>
      </c>
      <c r="BC33">
        <v>5</v>
      </c>
      <c r="BD33">
        <v>40</v>
      </c>
      <c r="BE33">
        <v>1</v>
      </c>
      <c r="BF33" t="s">
        <v>118</v>
      </c>
      <c r="BG33" t="s">
        <v>134</v>
      </c>
      <c r="BH33" t="b">
        <v>1</v>
      </c>
      <c r="BI33">
        <v>0</v>
      </c>
      <c r="BJ33">
        <v>1</v>
      </c>
      <c r="BK33">
        <v>128352840</v>
      </c>
      <c r="BL33">
        <v>176393615</v>
      </c>
      <c r="BM33"/>
      <c r="BN33"/>
      <c r="BO33"/>
      <c r="BP33"/>
      <c r="BQ33">
        <v>0</v>
      </c>
      <c r="BR33">
        <v>0</v>
      </c>
      <c r="BS33">
        <v>0</v>
      </c>
      <c r="BT33" t="s">
        <v>115</v>
      </c>
      <c r="BU33" t="s">
        <v>115</v>
      </c>
      <c r="BV33">
        <v>176393615</v>
      </c>
      <c r="BW33">
        <v>128352840</v>
      </c>
      <c r="BX33">
        <v>231442</v>
      </c>
      <c r="BY33">
        <v>128352840</v>
      </c>
      <c r="BZ33">
        <v>176393615</v>
      </c>
      <c r="CA33">
        <v>176393615</v>
      </c>
      <c r="CB33">
        <v>5</v>
      </c>
      <c r="CC33">
        <v>40</v>
      </c>
      <c r="CD33">
        <v>100000007</v>
      </c>
      <c r="CE33" t="s">
        <v>146</v>
      </c>
    </row>
    <row r="34" spans="1:83" x14ac:dyDescent="0.25">
      <c r="A34" t="s">
        <v>95</v>
      </c>
      <c r="B34">
        <v>12</v>
      </c>
      <c r="C34">
        <v>100000001</v>
      </c>
      <c r="D34">
        <v>7</v>
      </c>
      <c r="E34">
        <v>7</v>
      </c>
      <c r="F34" t="s">
        <v>96</v>
      </c>
      <c r="G34" t="s">
        <v>124</v>
      </c>
      <c r="H34">
        <v>1</v>
      </c>
      <c r="I34">
        <v>163186</v>
      </c>
      <c r="J34">
        <v>90463182</v>
      </c>
      <c r="K34" t="s">
        <v>98</v>
      </c>
      <c r="L34">
        <v>1</v>
      </c>
      <c r="M34" s="3" t="s">
        <v>99</v>
      </c>
      <c r="N34">
        <v>1</v>
      </c>
      <c r="O34">
        <v>2</v>
      </c>
      <c r="P34">
        <v>5</v>
      </c>
      <c r="Q34">
        <v>0</v>
      </c>
      <c r="R34">
        <v>5</v>
      </c>
      <c r="S34" t="s">
        <v>100</v>
      </c>
      <c r="T34" t="s">
        <v>101</v>
      </c>
      <c r="U34" t="s">
        <v>142</v>
      </c>
      <c r="V34" t="s">
        <v>145</v>
      </c>
      <c r="W34" t="s">
        <v>106</v>
      </c>
      <c r="X34" t="s">
        <v>107</v>
      </c>
      <c r="Y34" t="s">
        <v>107</v>
      </c>
      <c r="Z34" t="s">
        <v>107</v>
      </c>
      <c r="AA34" t="s">
        <v>107</v>
      </c>
      <c r="AB34" t="s">
        <v>107</v>
      </c>
      <c r="AC34" t="s">
        <v>96</v>
      </c>
      <c r="AD34" t="s">
        <v>107</v>
      </c>
      <c r="AE34" t="s">
        <v>108</v>
      </c>
      <c r="AF34" t="b">
        <v>0</v>
      </c>
      <c r="AG34" t="s">
        <v>96</v>
      </c>
      <c r="AH34" t="s">
        <v>107</v>
      </c>
      <c r="AI34" t="s">
        <v>109</v>
      </c>
      <c r="AK34">
        <v>1</v>
      </c>
      <c r="AL34">
        <v>0</v>
      </c>
      <c r="AM34" t="s">
        <v>111</v>
      </c>
      <c r="AN34" t="s">
        <v>144</v>
      </c>
      <c r="AO34" t="s">
        <v>113</v>
      </c>
      <c r="AP34" s="5">
        <v>1</v>
      </c>
      <c r="AR34" t="s">
        <v>115</v>
      </c>
      <c r="AS34" t="s">
        <v>115</v>
      </c>
      <c r="AT34" t="s">
        <v>115</v>
      </c>
      <c r="AU34" t="s">
        <v>115</v>
      </c>
      <c r="AV34" t="s">
        <v>115</v>
      </c>
      <c r="AW34" t="s">
        <v>115</v>
      </c>
      <c r="AX34" t="s">
        <v>117</v>
      </c>
      <c r="AY34">
        <v>20</v>
      </c>
      <c r="AZ34">
        <v>20</v>
      </c>
      <c r="BA34">
        <v>20</v>
      </c>
      <c r="BB34">
        <v>5</v>
      </c>
      <c r="BC34">
        <v>5</v>
      </c>
      <c r="BD34">
        <v>20</v>
      </c>
      <c r="BE34">
        <v>1</v>
      </c>
      <c r="BF34" t="s">
        <v>118</v>
      </c>
      <c r="BG34" t="s">
        <v>134</v>
      </c>
      <c r="BH34" t="b">
        <v>1</v>
      </c>
      <c r="BI34">
        <v>1</v>
      </c>
      <c r="BJ34">
        <v>1</v>
      </c>
      <c r="BK34">
        <v>0</v>
      </c>
      <c r="BL34">
        <v>1810670</v>
      </c>
      <c r="BM34">
        <v>1810670</v>
      </c>
      <c r="BN34">
        <v>1810670</v>
      </c>
      <c r="BO34">
        <v>1810670</v>
      </c>
      <c r="BP34">
        <v>1810670</v>
      </c>
      <c r="BQ34">
        <v>0</v>
      </c>
      <c r="BR34">
        <v>0</v>
      </c>
      <c r="BS34">
        <v>0</v>
      </c>
      <c r="BT34" t="s">
        <v>115</v>
      </c>
      <c r="BU34" t="s">
        <v>115</v>
      </c>
      <c r="BV34">
        <v>1810670</v>
      </c>
      <c r="BW34">
        <v>0</v>
      </c>
      <c r="BX34">
        <v>0</v>
      </c>
      <c r="BY34">
        <v>1810670</v>
      </c>
      <c r="BZ34">
        <v>0</v>
      </c>
      <c r="CA34">
        <v>0</v>
      </c>
      <c r="CB34">
        <v>5</v>
      </c>
      <c r="CC34">
        <v>20</v>
      </c>
      <c r="CD34">
        <v>100000007</v>
      </c>
      <c r="CE34" t="s">
        <v>146</v>
      </c>
    </row>
    <row r="35" spans="1:83" x14ac:dyDescent="0.25">
      <c r="A35" t="s">
        <v>95</v>
      </c>
      <c r="B35">
        <v>12</v>
      </c>
      <c r="C35">
        <v>100000001</v>
      </c>
      <c r="D35">
        <v>8</v>
      </c>
      <c r="E35">
        <v>8</v>
      </c>
      <c r="F35" t="s">
        <v>96</v>
      </c>
      <c r="G35" t="s">
        <v>124</v>
      </c>
      <c r="H35">
        <v>1</v>
      </c>
      <c r="I35">
        <v>163186</v>
      </c>
      <c r="J35">
        <v>56318047</v>
      </c>
      <c r="K35" t="s">
        <v>98</v>
      </c>
      <c r="L35">
        <v>1</v>
      </c>
      <c r="M35" s="3" t="s">
        <v>99</v>
      </c>
      <c r="N35">
        <v>1</v>
      </c>
      <c r="O35">
        <v>2</v>
      </c>
      <c r="P35">
        <v>0</v>
      </c>
      <c r="Q35">
        <v>0</v>
      </c>
      <c r="R35">
        <v>0</v>
      </c>
      <c r="T35" t="s">
        <v>101</v>
      </c>
      <c r="U35">
        <v>238942341</v>
      </c>
      <c r="V35" t="str">
        <f t="shared" si="0"/>
        <v>Security 34</v>
      </c>
      <c r="W35" t="s">
        <v>106</v>
      </c>
      <c r="X35" t="s">
        <v>96</v>
      </c>
      <c r="Y35" t="s">
        <v>96</v>
      </c>
      <c r="Z35" t="s">
        <v>107</v>
      </c>
      <c r="AA35" t="s">
        <v>107</v>
      </c>
      <c r="AB35" t="s">
        <v>107</v>
      </c>
      <c r="AC35" t="s">
        <v>96</v>
      </c>
      <c r="AD35" t="s">
        <v>96</v>
      </c>
      <c r="AE35" t="s">
        <v>108</v>
      </c>
      <c r="AF35" t="b">
        <v>0</v>
      </c>
      <c r="AG35" t="s">
        <v>96</v>
      </c>
      <c r="AH35" t="s">
        <v>107</v>
      </c>
      <c r="AI35" t="s">
        <v>109</v>
      </c>
      <c r="AK35">
        <v>1</v>
      </c>
      <c r="AL35">
        <v>0.25</v>
      </c>
      <c r="AM35" t="s">
        <v>111</v>
      </c>
      <c r="AN35" t="s">
        <v>112</v>
      </c>
      <c r="AO35" t="s">
        <v>113</v>
      </c>
      <c r="AP35" s="5">
        <v>45839</v>
      </c>
      <c r="AQ35" s="5">
        <v>45839</v>
      </c>
      <c r="AR35" t="s">
        <v>115</v>
      </c>
      <c r="AS35" t="s">
        <v>115</v>
      </c>
      <c r="AT35" t="s">
        <v>115</v>
      </c>
      <c r="AU35" t="s">
        <v>115</v>
      </c>
      <c r="AV35" t="s">
        <v>115</v>
      </c>
      <c r="AW35" t="s">
        <v>115</v>
      </c>
      <c r="AX35" t="s">
        <v>116</v>
      </c>
      <c r="AY35">
        <v>5</v>
      </c>
      <c r="AZ35">
        <v>20</v>
      </c>
      <c r="BA35">
        <v>20</v>
      </c>
      <c r="BB35">
        <v>5</v>
      </c>
      <c r="BC35">
        <v>5</v>
      </c>
      <c r="BD35">
        <v>5</v>
      </c>
      <c r="BE35">
        <v>1</v>
      </c>
      <c r="BF35" t="s">
        <v>118</v>
      </c>
      <c r="BG35" t="s">
        <v>119</v>
      </c>
      <c r="BH35" t="b">
        <v>1</v>
      </c>
      <c r="BI35">
        <v>0</v>
      </c>
      <c r="BJ35">
        <v>0</v>
      </c>
      <c r="BK35">
        <v>14584290</v>
      </c>
      <c r="BL35"/>
      <c r="BM35"/>
      <c r="BN35"/>
      <c r="BO35"/>
      <c r="BP35"/>
      <c r="BQ35"/>
      <c r="BR35"/>
      <c r="BS35"/>
      <c r="BT35" t="s">
        <v>115</v>
      </c>
      <c r="BU35" t="s">
        <v>115</v>
      </c>
      <c r="BW35">
        <v>14584290</v>
      </c>
      <c r="BX35">
        <v>20000</v>
      </c>
      <c r="BY35">
        <v>14584290</v>
      </c>
      <c r="CB35">
        <v>0</v>
      </c>
      <c r="CC35">
        <v>0</v>
      </c>
      <c r="CD35">
        <v>100000008</v>
      </c>
      <c r="CE35" t="s">
        <v>148</v>
      </c>
    </row>
    <row r="36" spans="1:83" x14ac:dyDescent="0.25">
      <c r="A36" t="s">
        <v>95</v>
      </c>
      <c r="B36">
        <v>12</v>
      </c>
      <c r="C36">
        <v>100000001</v>
      </c>
      <c r="D36">
        <v>8</v>
      </c>
      <c r="E36">
        <v>8</v>
      </c>
      <c r="F36" t="s">
        <v>96</v>
      </c>
      <c r="G36" t="s">
        <v>124</v>
      </c>
      <c r="H36">
        <v>1</v>
      </c>
      <c r="I36">
        <v>163186</v>
      </c>
      <c r="J36">
        <v>70964215</v>
      </c>
      <c r="K36" t="s">
        <v>98</v>
      </c>
      <c r="L36">
        <v>1</v>
      </c>
      <c r="M36" s="3" t="s">
        <v>99</v>
      </c>
      <c r="N36">
        <v>1</v>
      </c>
      <c r="O36">
        <v>2</v>
      </c>
      <c r="P36">
        <v>5</v>
      </c>
      <c r="Q36">
        <v>0</v>
      </c>
      <c r="R36">
        <v>5</v>
      </c>
      <c r="S36" t="s">
        <v>100</v>
      </c>
      <c r="T36" t="s">
        <v>101</v>
      </c>
      <c r="U36">
        <v>4326234625</v>
      </c>
      <c r="V36" t="str">
        <f t="shared" si="0"/>
        <v>Security 35</v>
      </c>
      <c r="W36" t="s">
        <v>106</v>
      </c>
      <c r="X36" t="s">
        <v>107</v>
      </c>
      <c r="Y36" t="s">
        <v>96</v>
      </c>
      <c r="Z36" t="s">
        <v>107</v>
      </c>
      <c r="AA36" t="s">
        <v>107</v>
      </c>
      <c r="AB36" t="s">
        <v>107</v>
      </c>
      <c r="AC36" t="s">
        <v>96</v>
      </c>
      <c r="AD36" t="s">
        <v>96</v>
      </c>
      <c r="AE36" t="s">
        <v>108</v>
      </c>
      <c r="AF36" t="b">
        <v>0</v>
      </c>
      <c r="AG36" t="s">
        <v>96</v>
      </c>
      <c r="AH36" t="s">
        <v>107</v>
      </c>
      <c r="AI36" t="s">
        <v>109</v>
      </c>
      <c r="AK36">
        <v>1</v>
      </c>
      <c r="AL36">
        <v>0.25</v>
      </c>
      <c r="AM36" t="s">
        <v>111</v>
      </c>
      <c r="AN36" t="s">
        <v>112</v>
      </c>
      <c r="AO36" t="s">
        <v>113</v>
      </c>
      <c r="AP36" s="5">
        <v>45839</v>
      </c>
      <c r="AQ36" s="5">
        <v>45839</v>
      </c>
      <c r="AR36" t="s">
        <v>115</v>
      </c>
      <c r="AS36" t="s">
        <v>115</v>
      </c>
      <c r="AT36" t="s">
        <v>115</v>
      </c>
      <c r="AU36" t="s">
        <v>115</v>
      </c>
      <c r="AV36" t="s">
        <v>115</v>
      </c>
      <c r="AW36" t="s">
        <v>115</v>
      </c>
      <c r="AX36" t="s">
        <v>116</v>
      </c>
      <c r="AY36">
        <v>5</v>
      </c>
      <c r="AZ36">
        <v>20</v>
      </c>
      <c r="BA36">
        <v>20</v>
      </c>
      <c r="BB36">
        <v>5</v>
      </c>
      <c r="BC36">
        <v>5</v>
      </c>
      <c r="BD36">
        <v>5</v>
      </c>
      <c r="BE36">
        <v>1</v>
      </c>
      <c r="BF36" t="s">
        <v>118</v>
      </c>
      <c r="BG36" t="s">
        <v>119</v>
      </c>
      <c r="BH36" t="b">
        <v>1</v>
      </c>
      <c r="BI36">
        <v>1</v>
      </c>
      <c r="BJ36">
        <v>1</v>
      </c>
      <c r="BK36"/>
      <c r="BL36">
        <v>11419335.6</v>
      </c>
      <c r="BM36">
        <v>11419335.6</v>
      </c>
      <c r="BN36">
        <v>11419335.6</v>
      </c>
      <c r="BO36">
        <v>11419335.6</v>
      </c>
      <c r="BP36">
        <v>11419335.6</v>
      </c>
      <c r="BQ36"/>
      <c r="BR36">
        <v>11419335.6</v>
      </c>
      <c r="BS36">
        <v>11419335.6</v>
      </c>
      <c r="BT36" t="s">
        <v>115</v>
      </c>
      <c r="BU36" t="s">
        <v>115</v>
      </c>
      <c r="BV36">
        <v>11419335.6</v>
      </c>
      <c r="BX36">
        <v>12341</v>
      </c>
      <c r="BZ36">
        <v>11419335.6</v>
      </c>
      <c r="CA36">
        <v>11419335.6</v>
      </c>
      <c r="CB36">
        <v>5</v>
      </c>
      <c r="CC36">
        <v>20</v>
      </c>
      <c r="CD36">
        <v>100000008</v>
      </c>
      <c r="CE36" t="s">
        <v>148</v>
      </c>
    </row>
    <row r="37" spans="1:83" x14ac:dyDescent="0.25">
      <c r="A37" t="s">
        <v>95</v>
      </c>
      <c r="B37">
        <v>12</v>
      </c>
      <c r="C37">
        <v>100000001</v>
      </c>
      <c r="D37">
        <v>8</v>
      </c>
      <c r="E37">
        <v>8</v>
      </c>
      <c r="F37" t="s">
        <v>96</v>
      </c>
      <c r="G37" t="s">
        <v>124</v>
      </c>
      <c r="H37">
        <v>1</v>
      </c>
      <c r="I37">
        <v>163186</v>
      </c>
      <c r="J37">
        <v>87135960</v>
      </c>
      <c r="K37" t="s">
        <v>98</v>
      </c>
      <c r="L37">
        <v>1</v>
      </c>
      <c r="M37" s="3" t="s">
        <v>99</v>
      </c>
      <c r="N37">
        <v>1</v>
      </c>
      <c r="O37">
        <v>2</v>
      </c>
      <c r="P37">
        <v>5</v>
      </c>
      <c r="Q37">
        <v>0</v>
      </c>
      <c r="R37">
        <v>5</v>
      </c>
      <c r="S37" t="s">
        <v>100</v>
      </c>
      <c r="T37" t="s">
        <v>101</v>
      </c>
      <c r="U37">
        <v>325412343</v>
      </c>
      <c r="V37" t="str">
        <f t="shared" si="0"/>
        <v>Security 36</v>
      </c>
      <c r="W37" t="s">
        <v>106</v>
      </c>
      <c r="X37" t="s">
        <v>107</v>
      </c>
      <c r="Y37" t="s">
        <v>96</v>
      </c>
      <c r="Z37" t="s">
        <v>107</v>
      </c>
      <c r="AA37" t="s">
        <v>107</v>
      </c>
      <c r="AB37" t="s">
        <v>107</v>
      </c>
      <c r="AC37" t="s">
        <v>96</v>
      </c>
      <c r="AD37" t="s">
        <v>96</v>
      </c>
      <c r="AE37" t="s">
        <v>108</v>
      </c>
      <c r="AF37" t="b">
        <v>0</v>
      </c>
      <c r="AG37" t="s">
        <v>96</v>
      </c>
      <c r="AH37" t="s">
        <v>107</v>
      </c>
      <c r="AI37" t="s">
        <v>109</v>
      </c>
      <c r="AK37">
        <v>1</v>
      </c>
      <c r="AL37">
        <v>0.15</v>
      </c>
      <c r="AM37" t="s">
        <v>111</v>
      </c>
      <c r="AN37" t="s">
        <v>112</v>
      </c>
      <c r="AO37" t="s">
        <v>113</v>
      </c>
      <c r="AP37" s="5">
        <v>45839</v>
      </c>
      <c r="AQ37" s="5">
        <v>45839</v>
      </c>
      <c r="AR37" t="s">
        <v>115</v>
      </c>
      <c r="AS37" t="s">
        <v>115</v>
      </c>
      <c r="AT37" t="s">
        <v>115</v>
      </c>
      <c r="AU37" t="s">
        <v>115</v>
      </c>
      <c r="AV37" t="s">
        <v>115</v>
      </c>
      <c r="AW37" t="s">
        <v>115</v>
      </c>
      <c r="AX37" t="s">
        <v>117</v>
      </c>
      <c r="AY37">
        <v>5</v>
      </c>
      <c r="AZ37">
        <v>20</v>
      </c>
      <c r="BA37">
        <v>20</v>
      </c>
      <c r="BB37">
        <v>5</v>
      </c>
      <c r="BC37">
        <v>5</v>
      </c>
      <c r="BD37">
        <v>5</v>
      </c>
      <c r="BE37">
        <v>1</v>
      </c>
      <c r="BF37" t="s">
        <v>118</v>
      </c>
      <c r="BG37" t="s">
        <v>119</v>
      </c>
      <c r="BH37" t="b">
        <v>1</v>
      </c>
      <c r="BI37">
        <v>1</v>
      </c>
      <c r="BJ37">
        <v>1</v>
      </c>
      <c r="BK37">
        <v>14013969</v>
      </c>
      <c r="BL37"/>
      <c r="BM37"/>
      <c r="BN37"/>
      <c r="BO37"/>
      <c r="BP37"/>
      <c r="BQ37">
        <v>14013969</v>
      </c>
      <c r="BR37"/>
      <c r="BS37"/>
      <c r="BT37" t="s">
        <v>115</v>
      </c>
      <c r="BU37" t="s">
        <v>115</v>
      </c>
      <c r="BW37">
        <v>14013969</v>
      </c>
      <c r="BX37">
        <v>10000</v>
      </c>
      <c r="BZ37">
        <v>14013969</v>
      </c>
      <c r="CA37">
        <v>14013969</v>
      </c>
      <c r="CB37">
        <v>5</v>
      </c>
      <c r="CC37">
        <v>20</v>
      </c>
      <c r="CD37">
        <v>100000008</v>
      </c>
      <c r="CE37" t="s">
        <v>148</v>
      </c>
    </row>
    <row r="38" spans="1:83" x14ac:dyDescent="0.25">
      <c r="A38" t="s">
        <v>95</v>
      </c>
      <c r="B38">
        <v>12</v>
      </c>
      <c r="C38">
        <v>100000001</v>
      </c>
      <c r="D38">
        <v>8</v>
      </c>
      <c r="E38">
        <v>8</v>
      </c>
      <c r="F38" t="s">
        <v>96</v>
      </c>
      <c r="G38" t="s">
        <v>124</v>
      </c>
      <c r="H38">
        <v>1</v>
      </c>
      <c r="I38">
        <v>163186</v>
      </c>
      <c r="J38">
        <v>43021897</v>
      </c>
      <c r="K38" t="s">
        <v>98</v>
      </c>
      <c r="L38">
        <v>1</v>
      </c>
      <c r="M38" s="3" t="s">
        <v>99</v>
      </c>
      <c r="N38">
        <v>1</v>
      </c>
      <c r="O38">
        <v>2</v>
      </c>
      <c r="P38">
        <v>5</v>
      </c>
      <c r="Q38">
        <v>0</v>
      </c>
      <c r="R38">
        <v>20</v>
      </c>
      <c r="S38" t="s">
        <v>100</v>
      </c>
      <c r="T38" t="s">
        <v>101</v>
      </c>
      <c r="U38" t="s">
        <v>147</v>
      </c>
      <c r="V38" t="str">
        <f t="shared" si="0"/>
        <v>Security 37</v>
      </c>
      <c r="W38" t="s">
        <v>106</v>
      </c>
      <c r="X38" t="s">
        <v>107</v>
      </c>
      <c r="Y38" t="s">
        <v>96</v>
      </c>
      <c r="Z38" t="s">
        <v>96</v>
      </c>
      <c r="AA38" t="s">
        <v>107</v>
      </c>
      <c r="AB38" t="s">
        <v>107</v>
      </c>
      <c r="AC38" t="s">
        <v>96</v>
      </c>
      <c r="AD38" t="s">
        <v>96</v>
      </c>
      <c r="AE38" t="s">
        <v>108</v>
      </c>
      <c r="AF38" t="b">
        <v>0</v>
      </c>
      <c r="AG38" t="s">
        <v>96</v>
      </c>
      <c r="AH38" t="s">
        <v>107</v>
      </c>
      <c r="AI38" t="s">
        <v>109</v>
      </c>
      <c r="AK38">
        <v>1</v>
      </c>
      <c r="AL38">
        <v>0.25</v>
      </c>
      <c r="AM38" t="s">
        <v>111</v>
      </c>
      <c r="AN38" t="s">
        <v>112</v>
      </c>
      <c r="AO38" t="s">
        <v>113</v>
      </c>
      <c r="AP38" s="5">
        <v>45841</v>
      </c>
      <c r="AQ38" s="5">
        <v>45841</v>
      </c>
      <c r="AR38" t="s">
        <v>115</v>
      </c>
      <c r="AS38" t="s">
        <v>115</v>
      </c>
      <c r="AT38" t="s">
        <v>115</v>
      </c>
      <c r="AU38" t="s">
        <v>115</v>
      </c>
      <c r="AV38" t="s">
        <v>115</v>
      </c>
      <c r="AW38" t="s">
        <v>115</v>
      </c>
      <c r="AX38" t="s">
        <v>116</v>
      </c>
      <c r="AY38">
        <v>5</v>
      </c>
      <c r="AZ38">
        <v>20</v>
      </c>
      <c r="BA38">
        <v>20</v>
      </c>
      <c r="BB38">
        <v>5</v>
      </c>
      <c r="BC38">
        <v>5</v>
      </c>
      <c r="BD38">
        <v>5</v>
      </c>
      <c r="BE38">
        <v>1</v>
      </c>
      <c r="BF38" t="s">
        <v>118</v>
      </c>
      <c r="BG38" t="s">
        <v>119</v>
      </c>
      <c r="BH38" t="b">
        <v>1</v>
      </c>
      <c r="BI38">
        <v>0</v>
      </c>
      <c r="BJ38">
        <v>1</v>
      </c>
      <c r="BK38"/>
      <c r="BL38">
        <v>4680507</v>
      </c>
      <c r="BM38">
        <v>4680507</v>
      </c>
      <c r="BN38">
        <v>4680507</v>
      </c>
      <c r="BO38"/>
      <c r="BP38">
        <v>4680507</v>
      </c>
      <c r="BQ38"/>
      <c r="BR38">
        <v>4680507</v>
      </c>
      <c r="BS38"/>
      <c r="BT38" t="s">
        <v>115</v>
      </c>
      <c r="BU38" t="s">
        <v>115</v>
      </c>
      <c r="BV38">
        <v>4680507</v>
      </c>
      <c r="BX38">
        <v>10000</v>
      </c>
      <c r="BZ38">
        <v>4680507</v>
      </c>
      <c r="CA38">
        <v>4680507</v>
      </c>
      <c r="CB38">
        <v>5</v>
      </c>
      <c r="CC38">
        <v>20</v>
      </c>
      <c r="CD38">
        <v>100000008</v>
      </c>
      <c r="CE38" t="s">
        <v>148</v>
      </c>
    </row>
    <row r="39" spans="1:83" x14ac:dyDescent="0.25">
      <c r="A39" t="s">
        <v>95</v>
      </c>
      <c r="B39">
        <v>12</v>
      </c>
      <c r="C39">
        <v>100000001</v>
      </c>
      <c r="D39">
        <v>9</v>
      </c>
      <c r="E39">
        <v>9</v>
      </c>
      <c r="F39" t="s">
        <v>96</v>
      </c>
      <c r="G39" t="s">
        <v>124</v>
      </c>
      <c r="H39">
        <v>1</v>
      </c>
      <c r="I39">
        <v>163186</v>
      </c>
      <c r="J39">
        <v>63057423</v>
      </c>
      <c r="K39" t="s">
        <v>98</v>
      </c>
      <c r="L39">
        <v>1</v>
      </c>
      <c r="M39" s="3" t="s">
        <v>99</v>
      </c>
      <c r="N39">
        <v>1</v>
      </c>
      <c r="O39">
        <v>2</v>
      </c>
      <c r="P39">
        <v>5</v>
      </c>
      <c r="Q39">
        <v>0</v>
      </c>
      <c r="R39">
        <v>5</v>
      </c>
      <c r="S39" t="s">
        <v>100</v>
      </c>
      <c r="T39" t="s">
        <v>101</v>
      </c>
      <c r="U39">
        <v>43291048</v>
      </c>
      <c r="V39" t="str">
        <f t="shared" si="0"/>
        <v>Security 38</v>
      </c>
      <c r="W39" t="s">
        <v>106</v>
      </c>
      <c r="X39" t="s">
        <v>107</v>
      </c>
      <c r="Y39" t="s">
        <v>96</v>
      </c>
      <c r="Z39" t="s">
        <v>107</v>
      </c>
      <c r="AA39" t="s">
        <v>107</v>
      </c>
      <c r="AB39" t="s">
        <v>107</v>
      </c>
      <c r="AC39" t="s">
        <v>96</v>
      </c>
      <c r="AD39" t="s">
        <v>96</v>
      </c>
      <c r="AE39" t="s">
        <v>108</v>
      </c>
      <c r="AF39" t="b">
        <v>0</v>
      </c>
      <c r="AG39" t="s">
        <v>96</v>
      </c>
      <c r="AH39" t="s">
        <v>107</v>
      </c>
      <c r="AI39" t="s">
        <v>109</v>
      </c>
      <c r="AK39">
        <v>1</v>
      </c>
      <c r="AL39">
        <v>0.15</v>
      </c>
      <c r="AM39" t="s">
        <v>111</v>
      </c>
      <c r="AN39" t="s">
        <v>112</v>
      </c>
      <c r="AO39" t="s">
        <v>113</v>
      </c>
      <c r="AP39" s="5">
        <v>45841</v>
      </c>
      <c r="AQ39" s="5">
        <v>45841</v>
      </c>
      <c r="AR39" t="s">
        <v>115</v>
      </c>
      <c r="AS39" t="s">
        <v>115</v>
      </c>
      <c r="AT39" t="s">
        <v>115</v>
      </c>
      <c r="AU39" t="s">
        <v>115</v>
      </c>
      <c r="AV39" t="s">
        <v>115</v>
      </c>
      <c r="AW39" t="s">
        <v>115</v>
      </c>
      <c r="AX39" t="s">
        <v>116</v>
      </c>
      <c r="AY39">
        <v>5</v>
      </c>
      <c r="AZ39">
        <v>20</v>
      </c>
      <c r="BA39">
        <v>20</v>
      </c>
      <c r="BB39">
        <v>5</v>
      </c>
      <c r="BC39">
        <v>5</v>
      </c>
      <c r="BD39">
        <v>5</v>
      </c>
      <c r="BE39">
        <v>1</v>
      </c>
      <c r="BF39" t="s">
        <v>118</v>
      </c>
      <c r="BG39" t="s">
        <v>119</v>
      </c>
      <c r="BH39" t="b">
        <v>1</v>
      </c>
      <c r="BI39">
        <v>1</v>
      </c>
      <c r="BJ39">
        <v>1</v>
      </c>
      <c r="BK39">
        <v>0</v>
      </c>
      <c r="BL39">
        <v>8329834</v>
      </c>
      <c r="BM39">
        <v>8329834</v>
      </c>
      <c r="BN39">
        <v>8329834</v>
      </c>
      <c r="BO39">
        <v>8329834</v>
      </c>
      <c r="BP39">
        <v>8329834</v>
      </c>
      <c r="BQ39">
        <v>0</v>
      </c>
      <c r="BR39">
        <v>8329834</v>
      </c>
      <c r="BS39">
        <v>8329834</v>
      </c>
      <c r="BT39" t="s">
        <v>115</v>
      </c>
      <c r="BU39" t="s">
        <v>115</v>
      </c>
      <c r="BV39">
        <v>8329834</v>
      </c>
      <c r="BW39">
        <v>0</v>
      </c>
      <c r="BX39">
        <v>10000</v>
      </c>
      <c r="BY39">
        <v>0</v>
      </c>
      <c r="BZ39">
        <v>8329834</v>
      </c>
      <c r="CA39">
        <v>8329834</v>
      </c>
      <c r="CB39">
        <v>5</v>
      </c>
      <c r="CC39">
        <v>20</v>
      </c>
      <c r="CD39">
        <v>100000009</v>
      </c>
      <c r="CE39" t="s">
        <v>149</v>
      </c>
    </row>
    <row r="40" spans="1:83" x14ac:dyDescent="0.25">
      <c r="A40" t="s">
        <v>95</v>
      </c>
      <c r="B40">
        <v>12</v>
      </c>
      <c r="C40">
        <v>100000001</v>
      </c>
      <c r="D40">
        <v>9</v>
      </c>
      <c r="E40">
        <v>9</v>
      </c>
      <c r="F40" t="s">
        <v>96</v>
      </c>
      <c r="G40" t="s">
        <v>124</v>
      </c>
      <c r="H40">
        <v>15</v>
      </c>
      <c r="I40">
        <v>163186</v>
      </c>
      <c r="J40">
        <v>15842971</v>
      </c>
      <c r="K40" t="s">
        <v>98</v>
      </c>
      <c r="L40">
        <v>1</v>
      </c>
      <c r="M40" s="3" t="s">
        <v>99</v>
      </c>
      <c r="N40">
        <v>1</v>
      </c>
      <c r="O40">
        <v>2</v>
      </c>
      <c r="P40">
        <v>5</v>
      </c>
      <c r="Q40">
        <v>0</v>
      </c>
      <c r="R40">
        <v>5</v>
      </c>
      <c r="S40" t="s">
        <v>100</v>
      </c>
      <c r="T40" t="s">
        <v>101</v>
      </c>
      <c r="U40">
        <v>52252344</v>
      </c>
      <c r="V40" t="str">
        <f t="shared" si="0"/>
        <v>Security 39</v>
      </c>
      <c r="W40" t="s">
        <v>106</v>
      </c>
      <c r="X40" t="s">
        <v>107</v>
      </c>
      <c r="Y40" t="s">
        <v>96</v>
      </c>
      <c r="Z40" t="s">
        <v>107</v>
      </c>
      <c r="AA40" t="s">
        <v>107</v>
      </c>
      <c r="AB40" t="s">
        <v>107</v>
      </c>
      <c r="AC40" t="s">
        <v>96</v>
      </c>
      <c r="AD40" t="s">
        <v>96</v>
      </c>
      <c r="AE40" t="s">
        <v>108</v>
      </c>
      <c r="AF40" t="b">
        <v>0</v>
      </c>
      <c r="AG40" t="s">
        <v>96</v>
      </c>
      <c r="AH40" t="s">
        <v>107</v>
      </c>
      <c r="AI40" t="s">
        <v>109</v>
      </c>
      <c r="AK40">
        <v>1</v>
      </c>
      <c r="AL40">
        <v>0.25</v>
      </c>
      <c r="AM40" t="s">
        <v>111</v>
      </c>
      <c r="AN40" t="s">
        <v>112</v>
      </c>
      <c r="AO40" t="s">
        <v>113</v>
      </c>
      <c r="AP40" s="5">
        <v>45841</v>
      </c>
      <c r="AQ40" s="5">
        <v>45841</v>
      </c>
      <c r="AR40" t="s">
        <v>115</v>
      </c>
      <c r="AS40" t="s">
        <v>115</v>
      </c>
      <c r="AT40" t="s">
        <v>115</v>
      </c>
      <c r="AV40" t="s">
        <v>115</v>
      </c>
      <c r="AW40" t="s">
        <v>115</v>
      </c>
      <c r="AX40" t="s">
        <v>117</v>
      </c>
      <c r="AY40">
        <v>5</v>
      </c>
      <c r="AZ40">
        <v>20</v>
      </c>
      <c r="BA40">
        <v>20</v>
      </c>
      <c r="BB40">
        <v>5</v>
      </c>
      <c r="BC40">
        <v>5</v>
      </c>
      <c r="BD40">
        <v>5</v>
      </c>
      <c r="BE40">
        <v>1</v>
      </c>
      <c r="BF40" t="s">
        <v>118</v>
      </c>
      <c r="BG40" t="s">
        <v>119</v>
      </c>
      <c r="BH40" t="b">
        <v>1</v>
      </c>
      <c r="BI40">
        <v>1</v>
      </c>
      <c r="BJ40">
        <v>1</v>
      </c>
      <c r="BK40">
        <v>5078329</v>
      </c>
      <c r="BL40"/>
      <c r="BM40"/>
      <c r="BN40"/>
      <c r="BO40"/>
      <c r="BP40"/>
      <c r="BQ40">
        <v>5078329</v>
      </c>
      <c r="BR40"/>
      <c r="BS40"/>
      <c r="BT40" t="s">
        <v>115</v>
      </c>
      <c r="BW40">
        <v>5078329</v>
      </c>
      <c r="BX40">
        <v>10000</v>
      </c>
      <c r="BY40">
        <v>0</v>
      </c>
      <c r="BZ40">
        <v>5078329</v>
      </c>
      <c r="CA40">
        <v>5078329</v>
      </c>
      <c r="CB40">
        <v>5</v>
      </c>
      <c r="CC40">
        <v>20</v>
      </c>
      <c r="CD40">
        <v>100000009</v>
      </c>
      <c r="CE40" t="s">
        <v>149</v>
      </c>
    </row>
    <row r="41" spans="1:83" x14ac:dyDescent="0.25">
      <c r="A41" t="s">
        <v>95</v>
      </c>
      <c r="B41">
        <v>12</v>
      </c>
      <c r="C41">
        <v>100000001</v>
      </c>
      <c r="D41">
        <v>9</v>
      </c>
      <c r="E41">
        <v>9</v>
      </c>
      <c r="F41" t="s">
        <v>96</v>
      </c>
      <c r="G41" t="s">
        <v>124</v>
      </c>
      <c r="H41">
        <v>1</v>
      </c>
      <c r="I41">
        <v>163186</v>
      </c>
      <c r="J41">
        <v>297530132</v>
      </c>
      <c r="K41" t="s">
        <v>98</v>
      </c>
      <c r="L41">
        <v>1</v>
      </c>
      <c r="M41" s="3" t="s">
        <v>99</v>
      </c>
      <c r="N41">
        <v>1</v>
      </c>
      <c r="O41">
        <v>2</v>
      </c>
      <c r="P41">
        <v>5</v>
      </c>
      <c r="Q41">
        <v>0</v>
      </c>
      <c r="R41">
        <v>5</v>
      </c>
      <c r="S41" t="s">
        <v>100</v>
      </c>
      <c r="T41" t="s">
        <v>101</v>
      </c>
      <c r="U41">
        <v>24352523</v>
      </c>
      <c r="V41" t="str">
        <f t="shared" si="0"/>
        <v>Security 40</v>
      </c>
      <c r="W41" t="s">
        <v>106</v>
      </c>
      <c r="X41" t="s">
        <v>107</v>
      </c>
      <c r="Y41" t="s">
        <v>96</v>
      </c>
      <c r="Z41" t="s">
        <v>107</v>
      </c>
      <c r="AA41" t="s">
        <v>107</v>
      </c>
      <c r="AB41" t="s">
        <v>107</v>
      </c>
      <c r="AC41" t="s">
        <v>96</v>
      </c>
      <c r="AD41" t="s">
        <v>96</v>
      </c>
      <c r="AE41" t="s">
        <v>108</v>
      </c>
      <c r="AF41" t="b">
        <v>0</v>
      </c>
      <c r="AG41" t="s">
        <v>96</v>
      </c>
      <c r="AH41" t="s">
        <v>107</v>
      </c>
      <c r="AI41" t="s">
        <v>109</v>
      </c>
      <c r="AK41">
        <v>1</v>
      </c>
      <c r="AL41">
        <v>0.25</v>
      </c>
      <c r="AM41" t="s">
        <v>111</v>
      </c>
      <c r="AN41" t="s">
        <v>112</v>
      </c>
      <c r="AO41" t="s">
        <v>113</v>
      </c>
      <c r="AP41" s="5">
        <v>45841</v>
      </c>
      <c r="AQ41" s="5">
        <v>45841</v>
      </c>
      <c r="AR41" t="s">
        <v>115</v>
      </c>
      <c r="AS41" t="s">
        <v>115</v>
      </c>
      <c r="AT41" t="s">
        <v>115</v>
      </c>
      <c r="AU41" t="s">
        <v>115</v>
      </c>
      <c r="AV41" t="s">
        <v>115</v>
      </c>
      <c r="AW41" t="s">
        <v>115</v>
      </c>
      <c r="AX41" t="s">
        <v>117</v>
      </c>
      <c r="AY41">
        <v>5</v>
      </c>
      <c r="AZ41">
        <v>20</v>
      </c>
      <c r="BA41">
        <v>20</v>
      </c>
      <c r="BB41">
        <v>5</v>
      </c>
      <c r="BC41">
        <v>5</v>
      </c>
      <c r="BD41">
        <v>5</v>
      </c>
      <c r="BE41">
        <v>1</v>
      </c>
      <c r="BF41" t="s">
        <v>118</v>
      </c>
      <c r="BG41" t="s">
        <v>119</v>
      </c>
      <c r="BH41" t="b">
        <v>1</v>
      </c>
      <c r="BI41">
        <v>1</v>
      </c>
      <c r="BJ41">
        <v>1</v>
      </c>
      <c r="BK41">
        <v>28000000</v>
      </c>
      <c r="BL41"/>
      <c r="BM41"/>
      <c r="BN41"/>
      <c r="BO41"/>
      <c r="BP41"/>
      <c r="BQ41">
        <v>28000000</v>
      </c>
      <c r="BR41"/>
      <c r="BS41"/>
      <c r="BT41" t="s">
        <v>115</v>
      </c>
      <c r="BU41" t="s">
        <v>115</v>
      </c>
      <c r="BW41">
        <v>28000000</v>
      </c>
      <c r="BX41">
        <v>10000</v>
      </c>
      <c r="BY41">
        <v>0</v>
      </c>
      <c r="BZ41">
        <v>28000000</v>
      </c>
      <c r="CA41">
        <v>28000000</v>
      </c>
      <c r="CB41">
        <v>5</v>
      </c>
      <c r="CC41">
        <v>20</v>
      </c>
      <c r="CD41">
        <v>100000009</v>
      </c>
      <c r="CE41" t="s">
        <v>149</v>
      </c>
    </row>
    <row r="42" spans="1:83" x14ac:dyDescent="0.25">
      <c r="A42" t="s">
        <v>95</v>
      </c>
      <c r="B42">
        <v>12</v>
      </c>
      <c r="C42">
        <v>100000001</v>
      </c>
      <c r="D42">
        <v>10</v>
      </c>
      <c r="E42">
        <v>10</v>
      </c>
      <c r="F42" t="s">
        <v>96</v>
      </c>
      <c r="G42" t="s">
        <v>124</v>
      </c>
      <c r="H42">
        <v>1</v>
      </c>
      <c r="I42">
        <v>163186</v>
      </c>
      <c r="J42">
        <v>78630255</v>
      </c>
      <c r="K42" t="s">
        <v>98</v>
      </c>
      <c r="L42">
        <v>1</v>
      </c>
      <c r="M42" s="3" t="s">
        <v>99</v>
      </c>
      <c r="N42">
        <v>1</v>
      </c>
      <c r="O42">
        <v>2</v>
      </c>
      <c r="P42">
        <v>5</v>
      </c>
      <c r="Q42">
        <v>0</v>
      </c>
      <c r="R42">
        <v>5</v>
      </c>
      <c r="S42" t="s">
        <v>100</v>
      </c>
      <c r="T42" t="s">
        <v>101</v>
      </c>
      <c r="U42" t="s">
        <v>150</v>
      </c>
      <c r="V42" t="str">
        <f t="shared" si="0"/>
        <v>Security 41</v>
      </c>
      <c r="W42" t="s">
        <v>106</v>
      </c>
      <c r="X42" t="s">
        <v>107</v>
      </c>
      <c r="Y42" t="s">
        <v>96</v>
      </c>
      <c r="Z42" t="s">
        <v>107</v>
      </c>
      <c r="AA42" t="s">
        <v>107</v>
      </c>
      <c r="AB42" t="s">
        <v>107</v>
      </c>
      <c r="AC42" t="s">
        <v>96</v>
      </c>
      <c r="AD42" t="s">
        <v>96</v>
      </c>
      <c r="AE42" t="s">
        <v>108</v>
      </c>
      <c r="AF42" t="b">
        <v>0</v>
      </c>
      <c r="AG42" t="s">
        <v>96</v>
      </c>
      <c r="AH42" t="s">
        <v>107</v>
      </c>
      <c r="AI42" t="s">
        <v>109</v>
      </c>
      <c r="AK42">
        <v>1</v>
      </c>
      <c r="AL42">
        <v>0.25</v>
      </c>
      <c r="AM42" t="s">
        <v>111</v>
      </c>
      <c r="AN42" t="s">
        <v>112</v>
      </c>
      <c r="AO42" t="s">
        <v>113</v>
      </c>
      <c r="AP42" s="5">
        <v>45841</v>
      </c>
      <c r="AQ42" s="5">
        <v>45841</v>
      </c>
      <c r="AR42" t="s">
        <v>115</v>
      </c>
      <c r="AS42" t="s">
        <v>115</v>
      </c>
      <c r="AT42" t="s">
        <v>115</v>
      </c>
      <c r="AU42" t="str">
        <f t="shared" ref="AU42:AU45" si="5">IF(OR(AS42="",AS42="null"),AW42,AS42)</f>
        <v>USD</v>
      </c>
      <c r="AV42" t="s">
        <v>115</v>
      </c>
      <c r="AW42" t="s">
        <v>115</v>
      </c>
      <c r="AX42" t="s">
        <v>117</v>
      </c>
      <c r="AY42">
        <v>5</v>
      </c>
      <c r="AZ42">
        <v>20</v>
      </c>
      <c r="BA42">
        <v>20</v>
      </c>
      <c r="BB42">
        <v>5</v>
      </c>
      <c r="BC42">
        <v>5</v>
      </c>
      <c r="BD42">
        <v>5</v>
      </c>
      <c r="BE42">
        <v>1</v>
      </c>
      <c r="BF42" t="s">
        <v>118</v>
      </c>
      <c r="BG42" t="s">
        <v>119</v>
      </c>
      <c r="BH42" t="b">
        <v>1</v>
      </c>
      <c r="BI42">
        <v>1</v>
      </c>
      <c r="BJ42">
        <v>1</v>
      </c>
      <c r="BK42">
        <v>8693482.6610000003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8693482.6610000003</v>
      </c>
      <c r="BR42">
        <v>0</v>
      </c>
      <c r="BS42">
        <v>0</v>
      </c>
      <c r="BT42" t="s">
        <v>115</v>
      </c>
      <c r="BU42" t="s">
        <v>115</v>
      </c>
      <c r="BV42">
        <v>0</v>
      </c>
      <c r="BW42">
        <v>8693482.6610000003</v>
      </c>
      <c r="BX42">
        <v>8000</v>
      </c>
      <c r="BZ42">
        <v>8693482.6610000003</v>
      </c>
      <c r="CA42">
        <v>8693482.6610000003</v>
      </c>
      <c r="CB42">
        <v>5</v>
      </c>
      <c r="CC42">
        <v>20</v>
      </c>
      <c r="CD42">
        <v>100000004</v>
      </c>
      <c r="CE42" t="s">
        <v>127</v>
      </c>
    </row>
    <row r="43" spans="1:83" x14ac:dyDescent="0.25">
      <c r="A43" t="s">
        <v>95</v>
      </c>
      <c r="B43">
        <v>12</v>
      </c>
      <c r="C43">
        <v>100000001</v>
      </c>
      <c r="D43">
        <v>10</v>
      </c>
      <c r="E43">
        <v>10</v>
      </c>
      <c r="F43" t="s">
        <v>96</v>
      </c>
      <c r="G43" t="s">
        <v>124</v>
      </c>
      <c r="H43">
        <v>1</v>
      </c>
      <c r="I43">
        <v>163186</v>
      </c>
      <c r="J43">
        <v>45918726</v>
      </c>
      <c r="K43" t="s">
        <v>98</v>
      </c>
      <c r="L43">
        <v>1</v>
      </c>
      <c r="M43" s="3" t="s">
        <v>99</v>
      </c>
      <c r="N43">
        <v>1</v>
      </c>
      <c r="O43">
        <v>2</v>
      </c>
      <c r="P43">
        <v>5</v>
      </c>
      <c r="Q43">
        <v>0</v>
      </c>
      <c r="R43">
        <v>5</v>
      </c>
      <c r="S43" t="s">
        <v>100</v>
      </c>
      <c r="T43" t="s">
        <v>101</v>
      </c>
      <c r="U43">
        <v>29438204</v>
      </c>
      <c r="V43" t="str">
        <f t="shared" si="0"/>
        <v>Security 42</v>
      </c>
      <c r="W43" t="s">
        <v>106</v>
      </c>
      <c r="X43" t="s">
        <v>107</v>
      </c>
      <c r="Y43" t="s">
        <v>96</v>
      </c>
      <c r="Z43" t="s">
        <v>107</v>
      </c>
      <c r="AA43" t="s">
        <v>107</v>
      </c>
      <c r="AB43" t="s">
        <v>107</v>
      </c>
      <c r="AC43" t="s">
        <v>96</v>
      </c>
      <c r="AD43" t="s">
        <v>96</v>
      </c>
      <c r="AE43" t="s">
        <v>108</v>
      </c>
      <c r="AF43" t="b">
        <v>0</v>
      </c>
      <c r="AG43" t="s">
        <v>96</v>
      </c>
      <c r="AH43" t="s">
        <v>107</v>
      </c>
      <c r="AI43" t="s">
        <v>109</v>
      </c>
      <c r="AJ43" t="s">
        <v>110</v>
      </c>
      <c r="AK43">
        <v>1</v>
      </c>
      <c r="AL43">
        <v>0.25</v>
      </c>
      <c r="AM43" t="s">
        <v>111</v>
      </c>
      <c r="AN43" t="s">
        <v>112</v>
      </c>
      <c r="AO43" t="s">
        <v>113</v>
      </c>
      <c r="AP43" s="5">
        <v>45841</v>
      </c>
      <c r="AQ43" s="5">
        <v>45841</v>
      </c>
      <c r="AR43" t="s">
        <v>115</v>
      </c>
      <c r="AS43" t="s">
        <v>115</v>
      </c>
      <c r="AT43" t="s">
        <v>115</v>
      </c>
      <c r="AU43" t="str">
        <f t="shared" si="5"/>
        <v>USD</v>
      </c>
      <c r="AV43" t="s">
        <v>115</v>
      </c>
      <c r="AW43" t="s">
        <v>115</v>
      </c>
      <c r="AX43" t="s">
        <v>116</v>
      </c>
      <c r="AY43">
        <v>5</v>
      </c>
      <c r="AZ43">
        <v>20</v>
      </c>
      <c r="BA43">
        <v>20</v>
      </c>
      <c r="BB43">
        <v>5</v>
      </c>
      <c r="BC43">
        <v>5</v>
      </c>
      <c r="BD43">
        <v>5</v>
      </c>
      <c r="BE43">
        <v>1</v>
      </c>
      <c r="BF43" t="s">
        <v>118</v>
      </c>
      <c r="BG43" t="s">
        <v>119</v>
      </c>
      <c r="BH43" t="b">
        <v>1</v>
      </c>
      <c r="BI43">
        <v>1</v>
      </c>
      <c r="BJ43">
        <v>1</v>
      </c>
      <c r="BK43"/>
      <c r="BL43">
        <v>2316444.551</v>
      </c>
      <c r="BM43">
        <v>2316444.551</v>
      </c>
      <c r="BN43">
        <v>2316444.551</v>
      </c>
      <c r="BO43">
        <v>2316444.551</v>
      </c>
      <c r="BP43">
        <v>2316444.551</v>
      </c>
      <c r="BQ43"/>
      <c r="BR43">
        <v>2316444.551</v>
      </c>
      <c r="BS43">
        <v>2316444.551</v>
      </c>
      <c r="BT43" t="s">
        <v>115</v>
      </c>
      <c r="BU43" t="s">
        <v>115</v>
      </c>
      <c r="BV43">
        <v>2316444.551</v>
      </c>
      <c r="BX43">
        <v>1000</v>
      </c>
      <c r="BZ43">
        <v>2316444.551</v>
      </c>
      <c r="CA43">
        <v>2316444.551</v>
      </c>
      <c r="CB43">
        <v>5</v>
      </c>
      <c r="CC43">
        <v>20</v>
      </c>
      <c r="CD43">
        <v>100000004</v>
      </c>
      <c r="CE43" t="s">
        <v>127</v>
      </c>
    </row>
    <row r="44" spans="1:83" x14ac:dyDescent="0.25">
      <c r="A44" t="s">
        <v>95</v>
      </c>
      <c r="B44">
        <v>12</v>
      </c>
      <c r="C44">
        <v>100000001</v>
      </c>
      <c r="D44">
        <v>10</v>
      </c>
      <c r="E44">
        <v>10</v>
      </c>
      <c r="F44" t="s">
        <v>96</v>
      </c>
      <c r="G44" t="s">
        <v>124</v>
      </c>
      <c r="H44">
        <v>15</v>
      </c>
      <c r="I44">
        <v>163186</v>
      </c>
      <c r="J44">
        <v>98026346</v>
      </c>
      <c r="K44" t="s">
        <v>98</v>
      </c>
      <c r="L44">
        <v>1</v>
      </c>
      <c r="M44" s="3" t="s">
        <v>99</v>
      </c>
      <c r="N44">
        <v>1</v>
      </c>
      <c r="O44">
        <v>2</v>
      </c>
      <c r="P44">
        <v>5</v>
      </c>
      <c r="Q44">
        <v>0</v>
      </c>
      <c r="R44">
        <v>5</v>
      </c>
      <c r="S44" t="s">
        <v>100</v>
      </c>
      <c r="T44" t="s">
        <v>101</v>
      </c>
      <c r="U44" t="s">
        <v>151</v>
      </c>
      <c r="V44" t="str">
        <f t="shared" si="0"/>
        <v>Security 43</v>
      </c>
      <c r="W44" t="s">
        <v>106</v>
      </c>
      <c r="X44" t="s">
        <v>107</v>
      </c>
      <c r="Y44" t="s">
        <v>96</v>
      </c>
      <c r="Z44" t="s">
        <v>107</v>
      </c>
      <c r="AA44" t="s">
        <v>107</v>
      </c>
      <c r="AB44" t="s">
        <v>107</v>
      </c>
      <c r="AC44" t="s">
        <v>96</v>
      </c>
      <c r="AD44" t="s">
        <v>96</v>
      </c>
      <c r="AE44" t="s">
        <v>108</v>
      </c>
      <c r="AF44" t="b">
        <v>0</v>
      </c>
      <c r="AG44" t="s">
        <v>96</v>
      </c>
      <c r="AH44" t="s">
        <v>107</v>
      </c>
      <c r="AI44" t="s">
        <v>109</v>
      </c>
      <c r="AK44">
        <v>1</v>
      </c>
      <c r="AL44">
        <v>0.25</v>
      </c>
      <c r="AM44" t="s">
        <v>111</v>
      </c>
      <c r="AN44" t="s">
        <v>112</v>
      </c>
      <c r="AO44" t="s">
        <v>113</v>
      </c>
      <c r="AP44" s="5">
        <v>45841</v>
      </c>
      <c r="AQ44" s="5">
        <v>45841</v>
      </c>
      <c r="AR44" t="s">
        <v>115</v>
      </c>
      <c r="AS44" t="s">
        <v>115</v>
      </c>
      <c r="AU44" t="str">
        <f t="shared" si="5"/>
        <v>USD</v>
      </c>
      <c r="AV44" t="s">
        <v>115</v>
      </c>
      <c r="AW44" t="s">
        <v>115</v>
      </c>
      <c r="AX44" t="s">
        <v>116</v>
      </c>
      <c r="AY44">
        <v>5</v>
      </c>
      <c r="AZ44">
        <v>20</v>
      </c>
      <c r="BA44">
        <v>20</v>
      </c>
      <c r="BB44">
        <v>5</v>
      </c>
      <c r="BC44">
        <v>5</v>
      </c>
      <c r="BD44">
        <v>5</v>
      </c>
      <c r="BE44">
        <v>1</v>
      </c>
      <c r="BF44" t="s">
        <v>118</v>
      </c>
      <c r="BG44" t="s">
        <v>119</v>
      </c>
      <c r="BH44" t="b">
        <v>1</v>
      </c>
      <c r="BI44">
        <v>1</v>
      </c>
      <c r="BJ44">
        <v>1</v>
      </c>
      <c r="BK44"/>
      <c r="BL44">
        <v>1584495.36</v>
      </c>
      <c r="BM44">
        <v>1584495.36</v>
      </c>
      <c r="BN44">
        <v>1584495.36</v>
      </c>
      <c r="BO44">
        <v>1584495.36</v>
      </c>
      <c r="BP44">
        <v>1584495.36</v>
      </c>
      <c r="BQ44"/>
      <c r="BR44">
        <v>1584495.36</v>
      </c>
      <c r="BS44">
        <v>1584495.36</v>
      </c>
      <c r="BU44" t="s">
        <v>115</v>
      </c>
      <c r="BV44">
        <v>1584495.36</v>
      </c>
      <c r="BX44">
        <v>20000</v>
      </c>
      <c r="BZ44">
        <v>1584495.36</v>
      </c>
      <c r="CA44">
        <v>1584495.36</v>
      </c>
      <c r="CB44">
        <v>5</v>
      </c>
      <c r="CC44">
        <v>20</v>
      </c>
      <c r="CD44">
        <v>100000004</v>
      </c>
      <c r="CE44" t="s">
        <v>127</v>
      </c>
    </row>
    <row r="45" spans="1:83" x14ac:dyDescent="0.25">
      <c r="A45" t="s">
        <v>95</v>
      </c>
      <c r="B45">
        <v>12</v>
      </c>
      <c r="C45">
        <v>100000001</v>
      </c>
      <c r="D45">
        <v>10</v>
      </c>
      <c r="E45">
        <v>10</v>
      </c>
      <c r="F45" t="s">
        <v>96</v>
      </c>
      <c r="G45" t="s">
        <v>124</v>
      </c>
      <c r="H45">
        <v>1</v>
      </c>
      <c r="I45">
        <v>163186</v>
      </c>
      <c r="J45">
        <v>81371582</v>
      </c>
      <c r="K45" t="s">
        <v>98</v>
      </c>
      <c r="L45">
        <v>1</v>
      </c>
      <c r="M45" s="3" t="s">
        <v>99</v>
      </c>
      <c r="N45">
        <v>1</v>
      </c>
      <c r="O45">
        <v>2</v>
      </c>
      <c r="P45">
        <v>5</v>
      </c>
      <c r="Q45">
        <v>0</v>
      </c>
      <c r="R45">
        <v>40</v>
      </c>
      <c r="S45" t="s">
        <v>100</v>
      </c>
      <c r="T45" t="s">
        <v>101</v>
      </c>
      <c r="U45">
        <v>12893452</v>
      </c>
      <c r="V45" t="str">
        <f t="shared" si="0"/>
        <v>Security 44</v>
      </c>
      <c r="W45" t="s">
        <v>106</v>
      </c>
      <c r="X45" t="s">
        <v>107</v>
      </c>
      <c r="Y45" t="s">
        <v>96</v>
      </c>
      <c r="Z45" t="s">
        <v>96</v>
      </c>
      <c r="AA45" t="s">
        <v>107</v>
      </c>
      <c r="AB45" t="s">
        <v>107</v>
      </c>
      <c r="AC45" t="s">
        <v>96</v>
      </c>
      <c r="AD45" t="s">
        <v>96</v>
      </c>
      <c r="AE45" t="s">
        <v>108</v>
      </c>
      <c r="AF45" t="b">
        <v>0</v>
      </c>
      <c r="AG45" t="s">
        <v>96</v>
      </c>
      <c r="AH45" t="s">
        <v>107</v>
      </c>
      <c r="AI45" t="s">
        <v>109</v>
      </c>
      <c r="AK45">
        <v>1</v>
      </c>
      <c r="AL45">
        <v>0.25</v>
      </c>
      <c r="AM45" t="s">
        <v>111</v>
      </c>
      <c r="AN45" t="s">
        <v>112</v>
      </c>
      <c r="AO45" t="s">
        <v>113</v>
      </c>
      <c r="AP45" s="5">
        <v>45841</v>
      </c>
      <c r="AQ45" s="5">
        <v>45841</v>
      </c>
      <c r="AR45" t="s">
        <v>115</v>
      </c>
      <c r="AS45" t="s">
        <v>115</v>
      </c>
      <c r="AT45" t="s">
        <v>115</v>
      </c>
      <c r="AU45" t="str">
        <f t="shared" si="5"/>
        <v>USD</v>
      </c>
      <c r="AV45" t="s">
        <v>115</v>
      </c>
      <c r="AW45" t="s">
        <v>115</v>
      </c>
      <c r="AX45" t="s">
        <v>116</v>
      </c>
      <c r="AY45">
        <v>5</v>
      </c>
      <c r="AZ45">
        <v>20</v>
      </c>
      <c r="BA45">
        <v>20</v>
      </c>
      <c r="BB45">
        <v>5</v>
      </c>
      <c r="BC45">
        <v>5</v>
      </c>
      <c r="BD45">
        <v>5</v>
      </c>
      <c r="BE45">
        <v>1</v>
      </c>
      <c r="BF45" t="s">
        <v>118</v>
      </c>
      <c r="BG45" t="s">
        <v>119</v>
      </c>
      <c r="BH45" t="b">
        <v>1</v>
      </c>
      <c r="BI45">
        <v>0</v>
      </c>
      <c r="BJ45">
        <v>1</v>
      </c>
      <c r="BK45"/>
      <c r="BL45">
        <v>127622.9662</v>
      </c>
      <c r="BM45">
        <v>127622.9662</v>
      </c>
      <c r="BN45">
        <v>127622.9662</v>
      </c>
      <c r="BO45">
        <v>127622.9662</v>
      </c>
      <c r="BP45">
        <v>127622.9662</v>
      </c>
      <c r="BQ45"/>
      <c r="BR45">
        <v>127622.9662</v>
      </c>
      <c r="BS45">
        <v>127622.9662</v>
      </c>
      <c r="BT45" t="s">
        <v>115</v>
      </c>
      <c r="BU45" t="s">
        <v>115</v>
      </c>
      <c r="BV45">
        <v>127622.9662</v>
      </c>
      <c r="BX45">
        <v>20000</v>
      </c>
      <c r="BZ45">
        <v>127622.9662</v>
      </c>
      <c r="CA45">
        <v>127622.9662</v>
      </c>
      <c r="CB45">
        <v>5</v>
      </c>
      <c r="CC45">
        <v>20</v>
      </c>
      <c r="CD45">
        <v>100000004</v>
      </c>
      <c r="CE45" t="s">
        <v>127</v>
      </c>
    </row>
    <row r="46" spans="1:83" x14ac:dyDescent="0.25">
      <c r="A46" t="s">
        <v>95</v>
      </c>
      <c r="B46">
        <v>12</v>
      </c>
      <c r="C46">
        <v>100000001</v>
      </c>
      <c r="D46">
        <v>11</v>
      </c>
      <c r="E46">
        <v>11</v>
      </c>
      <c r="F46" t="s">
        <v>96</v>
      </c>
      <c r="G46" t="s">
        <v>97</v>
      </c>
      <c r="H46">
        <v>1</v>
      </c>
      <c r="I46">
        <v>163186</v>
      </c>
      <c r="J46">
        <v>18643970</v>
      </c>
      <c r="K46" t="s">
        <v>98</v>
      </c>
      <c r="L46">
        <v>1</v>
      </c>
      <c r="M46" s="3" t="s">
        <v>99</v>
      </c>
      <c r="N46">
        <v>1</v>
      </c>
      <c r="O46">
        <v>2</v>
      </c>
      <c r="V46" t="str">
        <f t="shared" si="0"/>
        <v>Security 45</v>
      </c>
      <c r="AK46">
        <v>1</v>
      </c>
      <c r="AO46" t="s">
        <v>113</v>
      </c>
      <c r="BK46"/>
      <c r="BL46"/>
      <c r="BM46"/>
      <c r="BN46"/>
      <c r="BO46"/>
      <c r="BP46"/>
      <c r="BQ46"/>
      <c r="BR46"/>
      <c r="BS46"/>
    </row>
    <row r="47" spans="1:83" x14ac:dyDescent="0.25">
      <c r="A47" t="s">
        <v>95</v>
      </c>
      <c r="B47">
        <v>12</v>
      </c>
      <c r="C47">
        <v>100000001</v>
      </c>
      <c r="D47">
        <v>11</v>
      </c>
      <c r="E47">
        <v>11</v>
      </c>
      <c r="F47" t="s">
        <v>96</v>
      </c>
      <c r="G47" t="s">
        <v>97</v>
      </c>
      <c r="H47">
        <v>15</v>
      </c>
      <c r="I47">
        <v>163186</v>
      </c>
      <c r="J47">
        <v>24851963</v>
      </c>
      <c r="K47" t="s">
        <v>98</v>
      </c>
      <c r="L47">
        <v>1</v>
      </c>
      <c r="M47" s="3" t="s">
        <v>99</v>
      </c>
      <c r="N47">
        <v>1</v>
      </c>
      <c r="O47">
        <v>2</v>
      </c>
      <c r="V47" t="str">
        <f t="shared" si="0"/>
        <v>Security 46</v>
      </c>
      <c r="AK47">
        <v>1</v>
      </c>
      <c r="AO47" t="s">
        <v>113</v>
      </c>
      <c r="BK47"/>
      <c r="BL47"/>
      <c r="BM47"/>
      <c r="BN47"/>
      <c r="BO47"/>
      <c r="BP47"/>
      <c r="BQ47"/>
      <c r="BR47"/>
      <c r="BS47"/>
    </row>
    <row r="48" spans="1:83" x14ac:dyDescent="0.25">
      <c r="A48" t="s">
        <v>95</v>
      </c>
      <c r="B48">
        <v>12</v>
      </c>
      <c r="C48">
        <v>100000001</v>
      </c>
      <c r="D48">
        <v>12</v>
      </c>
      <c r="E48">
        <v>12</v>
      </c>
      <c r="F48" t="s">
        <v>96</v>
      </c>
      <c r="G48" t="s">
        <v>97</v>
      </c>
      <c r="H48">
        <v>15</v>
      </c>
      <c r="I48">
        <v>163186</v>
      </c>
      <c r="J48">
        <v>59073218</v>
      </c>
      <c r="K48" t="s">
        <v>98</v>
      </c>
      <c r="L48">
        <v>1</v>
      </c>
      <c r="M48" s="3" t="s">
        <v>99</v>
      </c>
      <c r="N48">
        <v>1</v>
      </c>
      <c r="O48">
        <v>2</v>
      </c>
      <c r="V48" t="str">
        <f t="shared" si="0"/>
        <v>Security 47</v>
      </c>
      <c r="AK48">
        <v>1</v>
      </c>
      <c r="AO48" t="s">
        <v>113</v>
      </c>
      <c r="BK48"/>
      <c r="BL48"/>
      <c r="BM48"/>
      <c r="BN48"/>
      <c r="BO48"/>
      <c r="BP48"/>
      <c r="BQ48"/>
      <c r="BR48"/>
      <c r="BS48"/>
    </row>
    <row r="49" spans="1:83" x14ac:dyDescent="0.25">
      <c r="A49" t="s">
        <v>95</v>
      </c>
      <c r="B49">
        <v>12</v>
      </c>
      <c r="C49">
        <v>100000001</v>
      </c>
      <c r="D49">
        <v>12</v>
      </c>
      <c r="E49">
        <v>12</v>
      </c>
      <c r="F49" t="s">
        <v>96</v>
      </c>
      <c r="G49" t="s">
        <v>97</v>
      </c>
      <c r="H49">
        <v>1</v>
      </c>
      <c r="I49">
        <v>163186</v>
      </c>
      <c r="J49">
        <v>82497136</v>
      </c>
      <c r="K49" t="s">
        <v>98</v>
      </c>
      <c r="L49">
        <v>1</v>
      </c>
      <c r="M49" s="3" t="s">
        <v>99</v>
      </c>
      <c r="N49">
        <v>1</v>
      </c>
      <c r="O49">
        <v>2</v>
      </c>
      <c r="V49" t="str">
        <f t="shared" si="0"/>
        <v>Security 48</v>
      </c>
      <c r="AK49">
        <v>1</v>
      </c>
      <c r="AO49" t="s">
        <v>113</v>
      </c>
      <c r="BK49"/>
      <c r="BL49"/>
      <c r="BM49"/>
      <c r="BN49"/>
      <c r="BO49"/>
      <c r="BP49"/>
      <c r="BQ49"/>
      <c r="BR49"/>
      <c r="BS49"/>
    </row>
    <row r="50" spans="1:83" x14ac:dyDescent="0.25">
      <c r="A50" t="s">
        <v>95</v>
      </c>
      <c r="B50">
        <v>12</v>
      </c>
      <c r="C50">
        <v>100000001</v>
      </c>
      <c r="D50">
        <v>13</v>
      </c>
      <c r="E50">
        <v>13</v>
      </c>
      <c r="F50" t="s">
        <v>96</v>
      </c>
      <c r="G50" t="s">
        <v>97</v>
      </c>
      <c r="H50">
        <v>15</v>
      </c>
      <c r="I50">
        <v>163186</v>
      </c>
      <c r="J50">
        <v>81293764</v>
      </c>
      <c r="K50" t="s">
        <v>98</v>
      </c>
      <c r="L50">
        <v>1</v>
      </c>
      <c r="M50" s="3" t="s">
        <v>99</v>
      </c>
      <c r="N50">
        <v>1</v>
      </c>
      <c r="O50">
        <v>2</v>
      </c>
      <c r="P50">
        <v>5</v>
      </c>
      <c r="Q50">
        <v>0</v>
      </c>
      <c r="R50">
        <v>5</v>
      </c>
      <c r="S50" t="s">
        <v>100</v>
      </c>
      <c r="T50" t="s">
        <v>101</v>
      </c>
      <c r="U50" t="s">
        <v>104</v>
      </c>
      <c r="V50" t="str">
        <f t="shared" si="0"/>
        <v>Security 49</v>
      </c>
      <c r="W50" t="s">
        <v>106</v>
      </c>
      <c r="X50" t="s">
        <v>107</v>
      </c>
      <c r="Y50" t="s">
        <v>107</v>
      </c>
      <c r="Z50" t="s">
        <v>107</v>
      </c>
      <c r="AA50" t="s">
        <v>107</v>
      </c>
      <c r="AB50" t="s">
        <v>107</v>
      </c>
      <c r="AC50" t="s">
        <v>96</v>
      </c>
      <c r="AD50" t="s">
        <v>96</v>
      </c>
      <c r="AE50" t="s">
        <v>108</v>
      </c>
      <c r="AF50" t="b">
        <v>0</v>
      </c>
      <c r="AG50" t="s">
        <v>96</v>
      </c>
      <c r="AH50" t="s">
        <v>107</v>
      </c>
      <c r="AI50" t="s">
        <v>109</v>
      </c>
      <c r="AK50">
        <v>1</v>
      </c>
      <c r="AL50">
        <v>0.25</v>
      </c>
      <c r="AM50" t="s">
        <v>111</v>
      </c>
      <c r="AN50" t="s">
        <v>112</v>
      </c>
      <c r="AO50" t="s">
        <v>113</v>
      </c>
      <c r="AP50" s="5">
        <v>1</v>
      </c>
      <c r="AR50" t="s">
        <v>115</v>
      </c>
      <c r="AS50" t="s">
        <v>115</v>
      </c>
      <c r="AU50" t="str">
        <f>IF(OR(AS50="",AS50="null"),AW50,AS50)</f>
        <v>USD</v>
      </c>
      <c r="AV50" t="s">
        <v>115</v>
      </c>
      <c r="AW50" t="s">
        <v>115</v>
      </c>
      <c r="AX50" t="s">
        <v>116</v>
      </c>
      <c r="AY50">
        <v>10</v>
      </c>
      <c r="AZ50">
        <v>20</v>
      </c>
      <c r="BA50">
        <v>20</v>
      </c>
      <c r="BB50">
        <v>10</v>
      </c>
      <c r="BC50">
        <v>10</v>
      </c>
      <c r="BD50">
        <v>10</v>
      </c>
      <c r="BE50">
        <v>1</v>
      </c>
      <c r="BF50" t="s">
        <v>118</v>
      </c>
      <c r="BG50" t="s">
        <v>119</v>
      </c>
      <c r="BH50" t="b">
        <v>1</v>
      </c>
      <c r="BI50">
        <v>1</v>
      </c>
      <c r="BJ50">
        <v>1</v>
      </c>
      <c r="BK50"/>
      <c r="BL50">
        <v>113431.08</v>
      </c>
      <c r="BM50">
        <v>113431.08</v>
      </c>
      <c r="BN50">
        <v>113431.08</v>
      </c>
      <c r="BO50">
        <v>113431.08</v>
      </c>
      <c r="BP50">
        <v>113431.08</v>
      </c>
      <c r="BQ50"/>
      <c r="BR50">
        <v>113431.08</v>
      </c>
      <c r="BS50">
        <v>113431.08</v>
      </c>
      <c r="BU50" t="s">
        <v>115</v>
      </c>
      <c r="BV50">
        <v>113431.08</v>
      </c>
      <c r="BX50">
        <v>8000</v>
      </c>
      <c r="BZ50">
        <v>113431.08</v>
      </c>
      <c r="CA50">
        <v>113431.08</v>
      </c>
      <c r="CB50">
        <v>10</v>
      </c>
      <c r="CC50">
        <v>20</v>
      </c>
      <c r="CD50">
        <v>100000005</v>
      </c>
      <c r="CE50" t="s">
        <v>128</v>
      </c>
    </row>
    <row r="51" spans="1:83" x14ac:dyDescent="0.25">
      <c r="A51" t="s">
        <v>95</v>
      </c>
      <c r="B51">
        <v>12</v>
      </c>
      <c r="C51">
        <v>100000001</v>
      </c>
      <c r="D51">
        <v>13</v>
      </c>
      <c r="E51">
        <v>13</v>
      </c>
      <c r="F51" t="s">
        <v>96</v>
      </c>
      <c r="G51" t="s">
        <v>97</v>
      </c>
      <c r="H51">
        <v>15</v>
      </c>
      <c r="I51">
        <v>163186</v>
      </c>
      <c r="J51">
        <v>47862501</v>
      </c>
      <c r="K51" t="s">
        <v>98</v>
      </c>
      <c r="L51">
        <v>1</v>
      </c>
      <c r="M51" s="3" t="s">
        <v>99</v>
      </c>
      <c r="N51">
        <v>1</v>
      </c>
      <c r="O51">
        <v>2</v>
      </c>
      <c r="P51">
        <v>5</v>
      </c>
      <c r="Q51">
        <v>0</v>
      </c>
      <c r="R51">
        <v>5</v>
      </c>
      <c r="S51" t="s">
        <v>100</v>
      </c>
      <c r="T51" t="s">
        <v>101</v>
      </c>
      <c r="U51">
        <v>294382048</v>
      </c>
      <c r="V51" t="str">
        <f t="shared" si="0"/>
        <v>Security 50</v>
      </c>
      <c r="W51" t="s">
        <v>106</v>
      </c>
      <c r="X51" t="s">
        <v>107</v>
      </c>
      <c r="Y51" t="s">
        <v>107</v>
      </c>
      <c r="Z51" t="s">
        <v>107</v>
      </c>
      <c r="AA51" t="s">
        <v>107</v>
      </c>
      <c r="AB51" t="s">
        <v>107</v>
      </c>
      <c r="AC51" t="s">
        <v>96</v>
      </c>
      <c r="AD51" t="s">
        <v>96</v>
      </c>
      <c r="AE51" t="s">
        <v>108</v>
      </c>
      <c r="AF51" t="b">
        <v>0</v>
      </c>
      <c r="AG51" t="s">
        <v>96</v>
      </c>
      <c r="AH51" t="s">
        <v>107</v>
      </c>
      <c r="AI51" t="s">
        <v>109</v>
      </c>
      <c r="AJ51" t="s">
        <v>110</v>
      </c>
      <c r="AK51">
        <v>1</v>
      </c>
      <c r="AL51">
        <v>0.25</v>
      </c>
      <c r="AM51" t="s">
        <v>111</v>
      </c>
      <c r="AN51" t="s">
        <v>112</v>
      </c>
      <c r="AO51" t="s">
        <v>113</v>
      </c>
      <c r="AP51" s="5">
        <v>1</v>
      </c>
      <c r="AR51" t="s">
        <v>115</v>
      </c>
      <c r="AS51" t="s">
        <v>115</v>
      </c>
      <c r="AU51" t="str">
        <f>IF(OR(AS51="",AS51="null"),AW51,AS51)</f>
        <v>USD</v>
      </c>
      <c r="AV51" t="s">
        <v>115</v>
      </c>
      <c r="AW51" t="s">
        <v>115</v>
      </c>
      <c r="AX51" t="s">
        <v>117</v>
      </c>
      <c r="AY51">
        <v>10</v>
      </c>
      <c r="AZ51">
        <v>20</v>
      </c>
      <c r="BA51">
        <v>20</v>
      </c>
      <c r="BB51">
        <v>10</v>
      </c>
      <c r="BC51">
        <v>10</v>
      </c>
      <c r="BD51">
        <v>10</v>
      </c>
      <c r="BE51">
        <v>1</v>
      </c>
      <c r="BF51" t="s">
        <v>118</v>
      </c>
      <c r="BG51" t="s">
        <v>119</v>
      </c>
      <c r="BH51" t="b">
        <v>1</v>
      </c>
      <c r="BI51">
        <v>1</v>
      </c>
      <c r="BJ51">
        <v>1</v>
      </c>
      <c r="BK51">
        <v>14744.43</v>
      </c>
      <c r="BL51"/>
      <c r="BM51"/>
      <c r="BN51"/>
      <c r="BO51"/>
      <c r="BP51"/>
      <c r="BQ51">
        <v>14744.43</v>
      </c>
      <c r="BR51"/>
      <c r="BS51"/>
      <c r="BT51" t="s">
        <v>115</v>
      </c>
      <c r="BW51">
        <v>14744.43</v>
      </c>
      <c r="BX51">
        <v>1000</v>
      </c>
      <c r="BZ51">
        <v>14744.43</v>
      </c>
      <c r="CA51">
        <v>14744.43</v>
      </c>
      <c r="CB51">
        <v>10</v>
      </c>
      <c r="CC51">
        <v>20</v>
      </c>
      <c r="CD51">
        <v>100000005</v>
      </c>
      <c r="CE51" t="s">
        <v>128</v>
      </c>
    </row>
  </sheetData>
  <conditionalFormatting sqref="J1:J1048576"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 Name</vt:lpstr>
      <vt:lpstr>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Zinan Liu</dc:creator>
  <cp:lastModifiedBy>Zinan Liu</cp:lastModifiedBy>
  <dcterms:created xsi:type="dcterms:W3CDTF">2025-11-04T13:48:37Z</dcterms:created>
  <dcterms:modified xsi:type="dcterms:W3CDTF">2025-11-06T19:26:19Z</dcterms:modified>
</cp:coreProperties>
</file>